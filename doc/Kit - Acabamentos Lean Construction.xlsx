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EstaPastaDeTrabalho"/>
  <xr:revisionPtr revIDLastSave="914" documentId="13_ncr:1_{F2C88FF6-4F6F-414A-A4C3-7D1B93830738}" xr6:coauthVersionLast="47" xr6:coauthVersionMax="47" xr10:uidLastSave="{5908FCD4-AF23-4FAC-BD9B-CB4B9BD1DFFF}"/>
  <bookViews>
    <workbookView xWindow="-120" yWindow="-120" windowWidth="29040" windowHeight="15720" tabRatio="819" firstSheet="5" xr2:uid="{00000000-000D-0000-FFFF-FFFF00000000}"/>
  </bookViews>
  <sheets>
    <sheet name="Kit Drywall Estrutura 3°" sheetId="1" r:id="rId1"/>
    <sheet name="Kit Drywall Emplacamento 3°" sheetId="11" r:id="rId2"/>
    <sheet name="Kit Forro 3°" sheetId="14" r:id="rId3"/>
    <sheet name="Kit Drywall Estrutura 2°-T" sheetId="10" r:id="rId4"/>
    <sheet name="Kit Drywall Emplacamento 2°-T" sheetId="6" r:id="rId5"/>
    <sheet name="Kit Forro 2°-T" sheetId="15" r:id="rId6"/>
    <sheet name="Kit Preparação e 1° Demão 3°" sheetId="12" r:id="rId7"/>
    <sheet name="Kit Preparação e 1° Demão 2°-T" sheetId="7" r:id="rId8"/>
    <sheet name="Kit Pintura Mecanizada 3°" sheetId="8" r:id="rId9"/>
    <sheet name="Kit Pintura Mecanizada 2°-T" sheetId="13" r:id="rId10"/>
    <sheet name="Kit Pintura - Retoques" sheetId="16" r:id="rId11"/>
    <sheet name="Total Itens Bloco" sheetId="17" r:id="rId12"/>
  </sheets>
  <definedNames>
    <definedName name="_xlnm._FilterDatabase" localSheetId="1" hidden="1">'Kit Drywall Emplacamento 3°'!$J$4:$L$4</definedName>
    <definedName name="_xlnm._FilterDatabase" localSheetId="0" hidden="1">'Kit Drywall Estrutura 3°'!#REF!</definedName>
    <definedName name="_xlnm._FilterDatabase" localSheetId="3" hidden="1">'Kit Drywall Estrutura 2°-T'!#REF!</definedName>
    <definedName name="_xlnm._FilterDatabase" localSheetId="6" hidden="1">'Kit Preparação e 1° Demão 3°'!$E$5:$G$24</definedName>
    <definedName name="_xlnm._FilterDatabase" localSheetId="8" hidden="1">'Kit Pintura Mecanizada 3°'!$J$5:$L$20</definedName>
    <definedName name="RealceValor" localSheetId="4">IFERROR(IF('Kit Drywall Emplacamento 2°-T'!#REF!="Sim", TRUE, FALSE),FALSE)</definedName>
    <definedName name="RealceValor" localSheetId="1">IFERROR(IF('Kit Drywall Emplacamento 3°'!#REF!="Sim", TRUE, FALSE),FALSE)</definedName>
    <definedName name="RealceValor" localSheetId="3">IFERROR(IF('Kit Drywall Estrutura 2°-T'!#REF!="Sim", TRUE, FALSE),FALSE)</definedName>
    <definedName name="RealceValor" localSheetId="5">IFERROR(IF('Kit Forro 2°-T'!#REF!="Sim", TRUE, FALSE),FALSE)</definedName>
    <definedName name="RealceValor" localSheetId="2">IFERROR(IF('Kit Forro 3°'!#REF!="Sim", TRUE, FALSE),FALSE)</definedName>
    <definedName name="RealceValor" localSheetId="9">IFERROR(IF('Kit Pintura Mecanizada 2°-T'!$K$3="Sim", TRUE, FALSE),FALSE)</definedName>
    <definedName name="RealceValor" localSheetId="8">IFERROR(IF('Kit Pintura Mecanizada 3°'!$H$3="Sim", TRUE, FALSE),FALSE)</definedName>
    <definedName name="RealceValor" localSheetId="7">IFERROR(IF('Kit Preparação e 1° Demão 2°-T'!$K$3="Sim", TRUE, FALSE),FALSE)</definedName>
    <definedName name="RealceValor" localSheetId="6">IFERROR(IF('Kit Preparação e 1° Demão 3°'!#REF!="Sim", TRUE, FALSE),FALSE)</definedName>
    <definedName name="RealceValor">IFERROR(IF('Kit Drywall Estrutura 3°'!#REF!="Sim", TRUE, FALSE),FALSE)</definedName>
    <definedName name="_xlnm.Print_Titles" localSheetId="0">'Kit Drywall Estrutura 3°'!$1:$4</definedName>
    <definedName name="_xlnm.Print_Titles" localSheetId="3">'Kit Drywall Estrutura 2°-T'!$1:$2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0" l="1"/>
  <c r="B15" i="10"/>
  <c r="B16" i="10"/>
  <c r="B17" i="10"/>
  <c r="B18" i="10"/>
  <c r="B19" i="10"/>
  <c r="B20" i="10"/>
  <c r="B21" i="10"/>
  <c r="B22" i="10"/>
  <c r="B23" i="10"/>
  <c r="B24" i="10"/>
  <c r="B25" i="10"/>
  <c r="B16" i="15"/>
  <c r="B17" i="15"/>
  <c r="B18" i="14"/>
  <c r="B19" i="14"/>
  <c r="B20" i="14"/>
  <c r="B20" i="13"/>
  <c r="B15" i="8"/>
  <c r="B16" i="7"/>
  <c r="B11" i="12"/>
  <c r="B8" i="14"/>
  <c r="B21" i="14"/>
  <c r="B22" i="14"/>
  <c r="B23" i="14"/>
  <c r="B24" i="14"/>
  <c r="B25" i="14"/>
  <c r="B26" i="14"/>
  <c r="B27" i="14"/>
  <c r="B28" i="14"/>
  <c r="B29" i="14"/>
  <c r="B18" i="15"/>
  <c r="B27" i="15"/>
  <c r="B26" i="15"/>
  <c r="B25" i="15"/>
  <c r="B24" i="15"/>
  <c r="B23" i="15"/>
  <c r="B22" i="15"/>
  <c r="B21" i="15"/>
  <c r="B20" i="15"/>
  <c r="B19" i="15"/>
  <c r="B14" i="15"/>
  <c r="B15" i="15"/>
  <c r="B13" i="15"/>
  <c r="B12" i="15"/>
  <c r="B11" i="15"/>
  <c r="B10" i="15"/>
  <c r="B9" i="15"/>
  <c r="B8" i="15"/>
  <c r="B7" i="15"/>
  <c r="B6" i="15"/>
  <c r="B5" i="15"/>
  <c r="B5" i="14"/>
  <c r="B6" i="14"/>
  <c r="B7" i="14"/>
  <c r="B9" i="14"/>
  <c r="B10" i="14"/>
  <c r="B11" i="14"/>
  <c r="B12" i="14"/>
  <c r="B13" i="14"/>
  <c r="B14" i="14"/>
  <c r="B16" i="14"/>
  <c r="B15" i="14"/>
  <c r="B17" i="14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21" i="12"/>
  <c r="B20" i="12"/>
  <c r="B19" i="12"/>
  <c r="B18" i="12"/>
  <c r="B17" i="12"/>
  <c r="B16" i="12"/>
  <c r="B15" i="12"/>
  <c r="B14" i="12"/>
  <c r="B13" i="12"/>
  <c r="B12" i="12"/>
  <c r="B9" i="12"/>
  <c r="B10" i="12"/>
  <c r="B8" i="12"/>
  <c r="B7" i="12"/>
  <c r="B6" i="12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13" i="10"/>
  <c r="B12" i="10"/>
  <c r="B11" i="10"/>
  <c r="B10" i="10"/>
  <c r="B9" i="10"/>
  <c r="B8" i="10"/>
  <c r="B7" i="10"/>
  <c r="B6" i="10"/>
  <c r="B5" i="10"/>
  <c r="B4" i="10"/>
  <c r="B3" i="10"/>
  <c r="B13" i="7"/>
  <c r="B14" i="7"/>
  <c r="B10" i="7"/>
  <c r="B8" i="7"/>
  <c r="B12" i="7"/>
  <c r="B9" i="7"/>
  <c r="B15" i="7"/>
  <c r="B16" i="6"/>
  <c r="B17" i="6"/>
  <c r="B18" i="6"/>
  <c r="B19" i="6"/>
  <c r="B20" i="6"/>
  <c r="B21" i="6"/>
  <c r="B22" i="6"/>
  <c r="B23" i="6"/>
  <c r="B24" i="6"/>
  <c r="B6" i="6"/>
  <c r="B7" i="6"/>
  <c r="B8" i="6"/>
  <c r="B9" i="6"/>
  <c r="B10" i="6"/>
  <c r="B11" i="6"/>
  <c r="B12" i="6"/>
  <c r="B13" i="6"/>
  <c r="B14" i="6"/>
  <c r="B15" i="6"/>
  <c r="B12" i="8"/>
  <c r="B13" i="8"/>
  <c r="B7" i="8"/>
  <c r="B8" i="8"/>
  <c r="B9" i="8"/>
  <c r="B10" i="8"/>
  <c r="B11" i="8"/>
  <c r="B14" i="8"/>
  <c r="B5" i="6"/>
  <c r="B5" i="1"/>
  <c r="B6" i="8"/>
  <c r="B19" i="8"/>
  <c r="B18" i="8"/>
  <c r="B17" i="8"/>
  <c r="B16" i="8"/>
  <c r="B20" i="8"/>
  <c r="B6" i="7"/>
  <c r="B17" i="7"/>
  <c r="B11" i="7"/>
  <c r="B7" i="7"/>
  <c r="B7" i="1"/>
  <c r="B8" i="1"/>
  <c r="B9" i="1"/>
  <c r="B10" i="1"/>
  <c r="B11" i="1"/>
  <c r="B12" i="1"/>
  <c r="B13" i="1"/>
  <c r="B14" i="1"/>
  <c r="B6" i="1"/>
</calcChain>
</file>

<file path=xl/sharedStrings.xml><?xml version="1.0" encoding="utf-8"?>
<sst xmlns="http://schemas.openxmlformats.org/spreadsheetml/2006/main" count="451" uniqueCount="114">
  <si>
    <t>Kit Acabamentos - Estrutura Drywall 3°Andar</t>
  </si>
  <si>
    <t>Duplo</t>
  </si>
  <si>
    <t>Para reordenar</t>
  </si>
  <si>
    <t>Equipe</t>
  </si>
  <si>
    <t>Solicitante</t>
  </si>
  <si>
    <t>Código do Item</t>
  </si>
  <si>
    <t>Descrição</t>
  </si>
  <si>
    <t>Quantidade</t>
  </si>
  <si>
    <t>DIVISÓRIAS INTERNAS (C1010)</t>
  </si>
  <si>
    <t>GUIA; p/ Drywall Aço Galvanizado 0,50 x 90 x 30 x 3000mm</t>
  </si>
  <si>
    <t xml:space="preserve">PERFIL: montante, 90 x 40 x 0,50 x 3100 mm, Drywal </t>
  </si>
  <si>
    <t>DTIO - BANDA ACÚSTICA: p/ Drywall, 90 x 4 x 10 mm, rolo c/ 10 m</t>
  </si>
  <si>
    <t>PARAFUSO; Zincado Ponta Agulha Cabeça Flangeada Phillips Ø 4,2 x 13 mm</t>
  </si>
  <si>
    <t>DTIO - COMPENSADO; Plastificado 18 mm 1,22 x 2,44 m 22 usos</t>
  </si>
  <si>
    <t>ARRUELA: cônica 23 mm, p/ pistola a gás Naja 40, c/ 100 peças</t>
  </si>
  <si>
    <t>PREGO: p/ pistola Naja 40, 3,1 X 22 HP, c/ 1000 peças</t>
  </si>
  <si>
    <t>PREGO: p/ pistola Naja 40, 3,1 X 27 HP, c/ 1000 peças</t>
  </si>
  <si>
    <t>GÁS: p/ pistola Naja 40</t>
  </si>
  <si>
    <t>PERFIL: metálico, tabica lisa, branco, 50 x 3000 mm</t>
  </si>
  <si>
    <t>PERFIL: aço c/ reforço estrutural, F530, 18 x 46 x 7 x 5000 mm</t>
  </si>
  <si>
    <t>UNIÃO: emenda, 90 x 40 x 15 mm, p/ perfil F530</t>
  </si>
  <si>
    <t>DTIO - TIRANTE: p/ forro, arame 10, rígido, c/ elo, 1,0 m</t>
  </si>
  <si>
    <t>DTIO - TIRANTE: p/ forro, arame 10, rígido, c/ elo, 0,5 m</t>
  </si>
  <si>
    <t>PRESILHA: reguladora pendural, p/ perfil F530</t>
  </si>
  <si>
    <t>GANCHO: suspensão de arame, X-ECC MX, c/ 100 peças</t>
  </si>
  <si>
    <t>4  pct</t>
  </si>
  <si>
    <t>99163 / 45832</t>
  </si>
  <si>
    <t>ARRUELA; Cônica Naja 23mm c/100pc</t>
  </si>
  <si>
    <t>99165 / 99159</t>
  </si>
  <si>
    <t>PINO: montado, c/ arruela cônica 23 mm, p/ pistola Naja 40, 3.1 X 22 HP AR CON 23, c/ 100 peças</t>
  </si>
  <si>
    <t>5 (ou 1000pcs cód.99159)</t>
  </si>
  <si>
    <t>PARAFUSO; Zincado Cabeça Panela AA (Auto-Atarraxante) Fenda Phillips 4,2 x 38 mm</t>
  </si>
  <si>
    <t>BUCHA: plástica, universal c/ anel, 6 mm, pacote c/ 1000 peças</t>
  </si>
  <si>
    <t xml:space="preserve"> </t>
  </si>
  <si>
    <t>Kit Acabamentos Drywall Emplacamento 3°</t>
  </si>
  <si>
    <t>Kit  - 3° ANDAR</t>
  </si>
  <si>
    <t>Dimensão</t>
  </si>
  <si>
    <t>Data de Entrega</t>
  </si>
  <si>
    <t>Quantidade a encomendar</t>
  </si>
  <si>
    <t>Tem Estoque?</t>
  </si>
  <si>
    <t>DTIO - FELTRO: Lã de vidro 1200 x 7500 x 100 mm, dens. 10 kg/m³,  WallFelt (9 m²/rolo)</t>
  </si>
  <si>
    <t>PLACA: gesso, p/ drywall, st, br, performa, 1200 x 3000 x 12,5 mm, PLACO</t>
  </si>
  <si>
    <t>191 pcs = 687,60m²</t>
  </si>
  <si>
    <t>PLACA: gesso, p/ drywall, Performa, RU, BR, 1200 x 1800 x 12,5 mm</t>
  </si>
  <si>
    <t>66 = 142,56m²</t>
  </si>
  <si>
    <t>DTIO - PLACA DE GESSO: Acartonado Drywall ST BR 1200mm x 2400mm x 125mm Branca</t>
  </si>
  <si>
    <t>45 pcs = 129,60m²</t>
  </si>
  <si>
    <t>DTIO - PARAFUSO; Cabeça Trombeta Ponta Agulha 3,5 x 25mm</t>
  </si>
  <si>
    <t>PARAFUSO: cabeça trombeta, ponta agulha, 3,5 x 45mm</t>
  </si>
  <si>
    <t>DTIO - FITA; Papel Microperfurada 50mm x 150m</t>
  </si>
  <si>
    <t>FITA: cantoneira flexível, 70 mm, rolo c/ 30 m, LEVELLINE</t>
  </si>
  <si>
    <t>MASSA: em pó, p/ juntas drywall, branco, Fastfix-BR, c/ 20 Kg</t>
  </si>
  <si>
    <t>DTIO - MASSA: pronta p/ drywall, balde 25 kg, Placomix</t>
  </si>
  <si>
    <t>DISCO; de Lixa10 Ø 225mm G120 c/ 10 Peças p/ Lixadeira de Parede WBR 750</t>
  </si>
  <si>
    <t>DTIO - LIXA; Massa 225 x 275 mm Grão 180</t>
  </si>
  <si>
    <t>DTIO - PLACA DE GESSO; Acartonado Drywall RU BR 1200mm x 2400mm x 125mm Verde</t>
  </si>
  <si>
    <t>Itens em destaque entregar á partir do bloco 19 em diante neste kit - Por favor, consultar Emerson de Lima</t>
  </si>
  <si>
    <t>Kit Acabamentos Drywall - Forro 3°</t>
  </si>
  <si>
    <t>KIT - 3º ANDAR</t>
  </si>
  <si>
    <t>Forro Estrutura (C1070)</t>
  </si>
  <si>
    <t>Entregas apenas para bolco 20 - Por favor, consultar Emerson de Lima</t>
  </si>
  <si>
    <t xml:space="preserve">Kit Acabamentos Estrutura Drywall 2º, 1º e T </t>
  </si>
  <si>
    <t>Código</t>
  </si>
  <si>
    <t>Itens em destaque entregar á partir do bloco 19 em diante - Por favor, consultar Emerson de Lima</t>
  </si>
  <si>
    <t>Kit Acabamentos Drywall Emplacamento 2°- T</t>
  </si>
  <si>
    <t>Kit  - TÉRREO, 1º e 2º ANDARES (qtd por andar)</t>
  </si>
  <si>
    <t>180 pcs = 648m²</t>
  </si>
  <si>
    <t>Kit Acabamentos Drywall - Forro 2º, 1º e T</t>
  </si>
  <si>
    <t>Estrutura (C1070)</t>
  </si>
  <si>
    <t>Kit Acabamentos Preparação e 1°Demão 3°</t>
  </si>
  <si>
    <t>Kit 3° ANDAR</t>
  </si>
  <si>
    <t>ACABAMENTOS PARA PAREDES E TETOS (C2010)</t>
  </si>
  <si>
    <t>DTIO - MASSA CORRIDA: interior, pva, 25 Kg</t>
  </si>
  <si>
    <t>MASSA ACRÍLICA: interior e exterior, 25 Kg</t>
  </si>
  <si>
    <t>DISCO; de Lixa10 Ø 225mm G80 c/ 10 Peças p/ Lixadeira de Parede WBR 750</t>
  </si>
  <si>
    <t>Cadastrar</t>
  </si>
  <si>
    <t>DISCO; de Lixa10 Ø 225mm G180 c/ 10 Peças p/ Lixadeira de Parede WBR 750</t>
  </si>
  <si>
    <t>DISCO; de Lixa10 Ø 225mm G240 c/ 10 Peças p/ Lixadeira de Parede WBR 750</t>
  </si>
  <si>
    <t>SELADOR: PVA, liquibase, 18 L</t>
  </si>
  <si>
    <t>FUNDO PREPARADOR: interno e externo, 18 L</t>
  </si>
  <si>
    <t>MASSA: em pó, p/ juntas drywall, branco, Fastfix-BR, c/ 20 Kg</t>
  </si>
  <si>
    <t>LÁPIS; Carpinteiro</t>
  </si>
  <si>
    <t>PROTETOR: salva pisos, kraft, 1,0 x 25 m, c/ 25 m²</t>
  </si>
  <si>
    <t>FITA ADESIVA: papel crepe, 48 mm x 50 m</t>
  </si>
  <si>
    <t>PROTETOR: salva pintura, plástico, c/ fita, 1,4 x 20 m, azul</t>
  </si>
  <si>
    <t>TINTA: acrílico premium, fosco completo, ouro branco, 16 L</t>
  </si>
  <si>
    <t xml:space="preserve"> DTIO - LIXA; p/ Massa 225 mm x 275 mm Grão 220</t>
  </si>
  <si>
    <t xml:space="preserve"> DTIO - LIXA; Massa 225 x 275 mm Grão 100</t>
  </si>
  <si>
    <t>LIXA; p/ Massa 225 mm x 275 mm Grão 180</t>
  </si>
  <si>
    <t>Kit Acabamentos Preparação e 1°Demão 2° - T</t>
  </si>
  <si>
    <t>Destacar itens para nova encomenda?</t>
  </si>
  <si>
    <t>Sim</t>
  </si>
  <si>
    <t>Kit TÉRREO, 1º e 2º ANDARES (qtd por andar)</t>
  </si>
  <si>
    <t>S/Cód.</t>
  </si>
  <si>
    <t>DTIO - LIXA; p/ Massa 225 mm x 275 mm Grão 220</t>
  </si>
  <si>
    <t>DTIO - LIXA; Massa 225 x 275 mm Grão 100</t>
  </si>
  <si>
    <t>Kit Acabamentos Pintura Mecanizada 3°</t>
  </si>
  <si>
    <t>Kit -  3° ANDAR</t>
  </si>
  <si>
    <t>DTIO - FITA ADESIVA: papel crepe, 48 mm x 50 m</t>
  </si>
  <si>
    <t>FITA CREPE: automotiva, alta performance, 24 mm x 40 m</t>
  </si>
  <si>
    <t>FITA CREPE: imobiliária, azul, anti UV, 48 mm x 50 m, 722</t>
  </si>
  <si>
    <t>MASSA: acrílica, p/ vedação, branca, tubo 450g, Fendas &amp; Trincas</t>
  </si>
  <si>
    <t>PROTETOR: salva pintura, plástico, c/ fita, 0,45 x 20 m, azul</t>
  </si>
  <si>
    <t>PROTETOR: salva pintura, plástico, c/ fita, 1,5 x 20 m, azul</t>
  </si>
  <si>
    <t>PROTETOR: salva pisos, kraft, 1,0 x 50 m, c/ 50 m²</t>
  </si>
  <si>
    <t>TINTA: acrílica, fosco, p/ aplicação direto Drywall, branca, 18 L</t>
  </si>
  <si>
    <t>TINTA: acrílico premium, fosco completo, ovelha, 16 L</t>
  </si>
  <si>
    <t>TINTA: acrílico premium, acetinado, toque de seda, cor gelo, 18 L</t>
  </si>
  <si>
    <t>TINTA: fosco completo, medalha de bronze, P147, 16 L</t>
  </si>
  <si>
    <t>Kit Acabamentos Pintura Mecanizada 2°- T</t>
  </si>
  <si>
    <t>Kit -  TÉRREO, 1º e 2º ANDARES (qtd por andar)</t>
  </si>
  <si>
    <t>70 = 151,2m²</t>
  </si>
  <si>
    <t>165 pcs = 594m²</t>
  </si>
  <si>
    <t>DTIO - PERFIL: montante, 90 x 40 x 0,50 x 4000 mm, Drywall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</si>
</sst>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43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2"/>
      <color theme="0"/>
      <name val="Franklin Gothic Book"/>
      <family val="2"/>
      <scheme val="minor"/>
    </font>
    <font>
      <b/>
      <sz val="12"/>
      <color rgb="FFFFFFFF"/>
      <name val="Franklin Gothic Book"/>
      <family val="2"/>
      <scheme val="minor"/>
    </font>
    <font>
      <b/>
      <sz val="12"/>
      <color theme="0"/>
      <name val="Franklin Gothic Book"/>
      <family val="2"/>
      <scheme val="minor"/>
    </font>
    <font>
      <sz val="11"/>
      <color rgb="FF000000"/>
      <name val="Franklin Gothic Book"/>
      <family val="2"/>
      <scheme val="minor"/>
    </font>
    <font>
      <sz val="11"/>
      <color rgb="FF242424"/>
      <name val="Franklin Gothic Book"/>
      <family val="2"/>
      <scheme val="minor"/>
    </font>
    <font>
      <sz val="10"/>
      <color rgb="FF000000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b/>
      <sz val="12"/>
      <color rgb="FFFF0000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28"/>
      <name val="Franklin Gothic Book"/>
      <family val="2"/>
      <scheme val="minor"/>
    </font>
    <font>
      <b/>
      <sz val="26"/>
      <name val="Franklin Gothic Book"/>
      <family val="2"/>
      <scheme val="minor"/>
    </font>
    <font>
      <b/>
      <sz val="24"/>
      <name val="Franklin Gothic Book"/>
      <family val="2"/>
      <scheme val="minor"/>
    </font>
    <font>
      <b/>
      <sz val="22"/>
      <name val="Franklin Gothic Book"/>
      <family val="2"/>
      <scheme val="minor"/>
    </font>
    <font>
      <sz val="10"/>
      <color theme="1"/>
      <name val="Franklin Gothic Book"/>
      <scheme val="minor"/>
    </font>
    <font>
      <b/>
      <sz val="14"/>
      <color theme="1"/>
      <name val="Franklin Gothic Book"/>
      <family val="2"/>
      <scheme val="minor"/>
    </font>
    <font>
      <sz val="10"/>
      <color theme="1"/>
      <name val="Franklin Gothic Book"/>
      <scheme val="major"/>
    </font>
    <font>
      <sz val="12"/>
      <color theme="1"/>
      <name val="Franklin Gothic Book"/>
      <scheme val="major"/>
    </font>
    <font>
      <sz val="10"/>
      <color rgb="FF000000"/>
      <name val="Franklin Gothic Book"/>
      <scheme val="major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2"/>
      <color theme="1"/>
      <name val="Franklin Gothic Book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6" tint="0.599963377788628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theme="3"/>
      </top>
      <bottom/>
      <diagonal/>
    </border>
  </borders>
  <cellStyleXfs count="57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29" fillId="0" borderId="0"/>
  </cellStyleXfs>
  <cellXfs count="1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15" fillId="34" borderId="10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left" vertical="center" wrapText="1"/>
    </xf>
    <xf numFmtId="0" fontId="25" fillId="35" borderId="10" xfId="0" applyFont="1" applyFill="1" applyBorder="1" applyAlignment="1">
      <alignment horizontal="center" vertical="center"/>
    </xf>
    <xf numFmtId="2" fontId="25" fillId="35" borderId="10" xfId="0" applyNumberFormat="1" applyFont="1" applyFill="1" applyBorder="1" applyAlignment="1">
      <alignment horizontal="left" vertical="center" wrapText="1"/>
    </xf>
    <xf numFmtId="0" fontId="15" fillId="34" borderId="11" xfId="0" applyFont="1" applyFill="1" applyBorder="1" applyAlignment="1">
      <alignment horizontal="center" vertical="center" wrapText="1"/>
    </xf>
    <xf numFmtId="0" fontId="1" fillId="35" borderId="10" xfId="0" applyFont="1" applyFill="1" applyBorder="1" applyAlignment="1">
      <alignment vertical="center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left" vertical="center" wrapText="1"/>
    </xf>
    <xf numFmtId="0" fontId="23" fillId="35" borderId="10" xfId="0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horizontal="left" vertical="center" wrapText="1"/>
    </xf>
    <xf numFmtId="0" fontId="23" fillId="35" borderId="10" xfId="0" applyFont="1" applyFill="1" applyBorder="1" applyAlignment="1">
      <alignment horizontal="left" vertical="center"/>
    </xf>
    <xf numFmtId="2" fontId="23" fillId="35" borderId="10" xfId="0" applyNumberFormat="1" applyFont="1" applyFill="1" applyBorder="1" applyAlignment="1">
      <alignment horizontal="left" vertical="center" wrapText="1"/>
    </xf>
    <xf numFmtId="0" fontId="1" fillId="35" borderId="10" xfId="0" applyFont="1" applyFill="1" applyBorder="1" applyAlignment="1">
      <alignment horizontal="left" vertical="center" indent="1"/>
    </xf>
    <xf numFmtId="0" fontId="1" fillId="35" borderId="10" xfId="0" applyFont="1" applyFill="1" applyBorder="1" applyAlignment="1">
      <alignment horizontal="right" vertical="center" indent="1"/>
    </xf>
    <xf numFmtId="0" fontId="0" fillId="0" borderId="10" xfId="0" applyBorder="1" applyAlignment="1">
      <alignment horizontal="center" vertical="center" wrapText="1"/>
    </xf>
    <xf numFmtId="0" fontId="26" fillId="35" borderId="10" xfId="0" applyFont="1" applyFill="1" applyBorder="1" applyAlignment="1">
      <alignment horizontal="center" vertical="center" indent="1"/>
    </xf>
    <xf numFmtId="0" fontId="1" fillId="35" borderId="10" xfId="0" applyFont="1" applyFill="1" applyBorder="1" applyAlignment="1">
      <alignment horizontal="center" vertical="center" indent="1"/>
    </xf>
    <xf numFmtId="0" fontId="25" fillId="35" borderId="10" xfId="0" applyFont="1" applyFill="1" applyBorder="1" applyAlignment="1">
      <alignment horizontal="center" vertical="center" indent="1"/>
    </xf>
    <xf numFmtId="2" fontId="1" fillId="35" borderId="10" xfId="0" applyNumberFormat="1" applyFont="1" applyFill="1" applyBorder="1" applyAlignment="1">
      <alignment horizontal="left" vertical="center" indent="1"/>
    </xf>
    <xf numFmtId="0" fontId="1" fillId="35" borderId="10" xfId="0" applyFont="1" applyFill="1" applyBorder="1" applyAlignment="1">
      <alignment vertical="center" indent="1"/>
    </xf>
    <xf numFmtId="0" fontId="1" fillId="35" borderId="11" xfId="0" applyFont="1" applyFill="1" applyBorder="1" applyAlignment="1">
      <alignment horizontal="right" vertical="center" indent="1"/>
    </xf>
    <xf numFmtId="0" fontId="28" fillId="35" borderId="10" xfId="0" applyFont="1" applyFill="1" applyBorder="1" applyAlignment="1">
      <alignment horizontal="right" vertical="center" indent="1"/>
    </xf>
    <xf numFmtId="0" fontId="1" fillId="35" borderId="10" xfId="0" applyFont="1" applyFill="1" applyBorder="1" applyAlignment="1">
      <alignment horizontal="left" vertical="center" wrapText="1"/>
    </xf>
    <xf numFmtId="0" fontId="1" fillId="35" borderId="11" xfId="0" applyFont="1" applyFill="1" applyBorder="1" applyAlignment="1">
      <alignment horizontal="center" vertical="center" indent="1"/>
    </xf>
    <xf numFmtId="0" fontId="1" fillId="35" borderId="0" xfId="0" applyFont="1" applyFill="1" applyAlignment="1">
      <alignment horizontal="right" vertical="center" indent="1"/>
    </xf>
    <xf numFmtId="14" fontId="1" fillId="35" borderId="0" xfId="0" applyNumberFormat="1" applyFont="1" applyFill="1" applyAlignment="1">
      <alignment horizontal="right" vertical="center" indent="1"/>
    </xf>
    <xf numFmtId="0" fontId="1" fillId="35" borderId="0" xfId="0" applyFont="1" applyFill="1" applyAlignment="1">
      <alignment horizontal="left" vertical="center" indent="1"/>
    </xf>
    <xf numFmtId="0" fontId="1" fillId="33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right" vertical="center" indent="1"/>
    </xf>
    <xf numFmtId="0" fontId="32" fillId="0" borderId="0" xfId="0" applyFont="1" applyAlignment="1">
      <alignment vertical="center"/>
    </xf>
    <xf numFmtId="0" fontId="27" fillId="35" borderId="10" xfId="0" applyFont="1" applyFill="1" applyBorder="1" applyAlignment="1">
      <alignment horizontal="right" vertical="center" indent="1"/>
    </xf>
    <xf numFmtId="0" fontId="34" fillId="35" borderId="10" xfId="0" applyFont="1" applyFill="1" applyBorder="1" applyAlignment="1">
      <alignment horizontal="center" vertical="center" wrapText="1"/>
    </xf>
    <xf numFmtId="0" fontId="34" fillId="35" borderId="10" xfId="0" applyFont="1" applyFill="1" applyBorder="1" applyAlignment="1">
      <alignment horizontal="left" vertical="center" wrapText="1"/>
    </xf>
    <xf numFmtId="0" fontId="0" fillId="35" borderId="10" xfId="0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35" borderId="11" xfId="0" applyFont="1" applyFill="1" applyBorder="1" applyAlignment="1">
      <alignment horizontal="left" vertical="center" indent="1"/>
    </xf>
    <xf numFmtId="0" fontId="34" fillId="35" borderId="10" xfId="0" applyFont="1" applyFill="1" applyBorder="1" applyAlignment="1">
      <alignment horizontal="right" vertical="center" indent="1"/>
    </xf>
    <xf numFmtId="0" fontId="34" fillId="0" borderId="0" xfId="0" applyFont="1" applyAlignment="1">
      <alignment horizontal="right" vertical="center" indent="1"/>
    </xf>
    <xf numFmtId="0" fontId="34" fillId="0" borderId="0" xfId="0" applyFont="1" applyAlignment="1">
      <alignment horizontal="left" vertical="center" indent="1"/>
    </xf>
    <xf numFmtId="0" fontId="34" fillId="35" borderId="10" xfId="0" applyFont="1" applyFill="1" applyBorder="1" applyAlignment="1">
      <alignment horizontal="center" vertical="center" indent="1"/>
    </xf>
    <xf numFmtId="0" fontId="34" fillId="35" borderId="11" xfId="0" applyFont="1" applyFill="1" applyBorder="1" applyAlignment="1">
      <alignment horizontal="center" vertical="center" indent="1"/>
    </xf>
    <xf numFmtId="0" fontId="34" fillId="35" borderId="10" xfId="0" applyFont="1" applyFill="1" applyBorder="1" applyAlignment="1">
      <alignment horizontal="left" vertical="center" indent="1"/>
    </xf>
    <xf numFmtId="0" fontId="34" fillId="35" borderId="11" xfId="0" applyFont="1" applyFill="1" applyBorder="1" applyAlignment="1">
      <alignment horizontal="right" vertical="center" indent="1"/>
    </xf>
    <xf numFmtId="0" fontId="1" fillId="35" borderId="10" xfId="0" applyFont="1" applyFill="1" applyBorder="1" applyAlignment="1">
      <alignment horizontal="center" vertical="center"/>
    </xf>
    <xf numFmtId="0" fontId="34" fillId="35" borderId="10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0" fillId="35" borderId="10" xfId="0" applyFill="1" applyBorder="1" applyAlignment="1">
      <alignment vertical="center"/>
    </xf>
    <xf numFmtId="0" fontId="18" fillId="35" borderId="10" xfId="0" applyFont="1" applyFill="1" applyBorder="1" applyAlignment="1">
      <alignment horizontal="center" vertical="center" indent="1"/>
    </xf>
    <xf numFmtId="0" fontId="23" fillId="35" borderId="10" xfId="0" applyFont="1" applyFill="1" applyBorder="1" applyAlignment="1">
      <alignment horizontal="center" vertical="center" indent="1"/>
    </xf>
    <xf numFmtId="2" fontId="0" fillId="35" borderId="10" xfId="0" applyNumberFormat="1" applyFill="1" applyBorder="1" applyAlignment="1">
      <alignment horizontal="left" vertical="center" indent="1"/>
    </xf>
    <xf numFmtId="0" fontId="0" fillId="35" borderId="10" xfId="0" applyFill="1" applyBorder="1" applyAlignment="1">
      <alignment horizontal="right" vertical="center" indent="1"/>
    </xf>
    <xf numFmtId="0" fontId="34" fillId="35" borderId="0" xfId="0" applyFont="1" applyFill="1" applyAlignment="1">
      <alignment horizontal="right" vertical="center" indent="1"/>
    </xf>
    <xf numFmtId="0" fontId="34" fillId="35" borderId="0" xfId="0" applyFont="1" applyFill="1" applyAlignment="1">
      <alignment horizontal="left" vertical="center" indent="1"/>
    </xf>
    <xf numFmtId="0" fontId="23" fillId="35" borderId="10" xfId="0" applyFont="1" applyFill="1" applyBorder="1" applyAlignment="1">
      <alignment horizontal="right" vertical="center" indent="1"/>
    </xf>
    <xf numFmtId="0" fontId="35" fillId="3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5" borderId="10" xfId="0" applyFont="1" applyFill="1" applyBorder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34" fillId="35" borderId="10" xfId="0" applyFont="1" applyFill="1" applyBorder="1" applyAlignment="1">
      <alignment horizontal="left" vertical="center" wrapText="1" indent="1"/>
    </xf>
    <xf numFmtId="0" fontId="1" fillId="35" borderId="10" xfId="0" applyFont="1" applyFill="1" applyBorder="1" applyAlignment="1">
      <alignment horizontal="center" vertical="center" wrapText="1" indent="1"/>
    </xf>
    <xf numFmtId="0" fontId="1" fillId="35" borderId="11" xfId="0" applyFont="1" applyFill="1" applyBorder="1" applyAlignment="1">
      <alignment horizontal="center" vertical="center" wrapText="1" indent="1"/>
    </xf>
    <xf numFmtId="0" fontId="1" fillId="35" borderId="11" xfId="0" applyFont="1" applyFill="1" applyBorder="1" applyAlignment="1">
      <alignment horizontal="right" vertical="center" wrapText="1" indent="1"/>
    </xf>
    <xf numFmtId="0" fontId="25" fillId="35" borderId="11" xfId="0" applyFont="1" applyFill="1" applyBorder="1" applyAlignment="1">
      <alignment horizontal="center" vertical="center" indent="1"/>
    </xf>
    <xf numFmtId="2" fontId="1" fillId="35" borderId="11" xfId="0" applyNumberFormat="1" applyFont="1" applyFill="1" applyBorder="1" applyAlignment="1">
      <alignment horizontal="left" vertical="center" indent="1"/>
    </xf>
    <xf numFmtId="0" fontId="28" fillId="35" borderId="11" xfId="0" applyFont="1" applyFill="1" applyBorder="1" applyAlignment="1">
      <alignment horizontal="right" vertical="center" indent="1"/>
    </xf>
    <xf numFmtId="0" fontId="1" fillId="36" borderId="10" xfId="0" applyFont="1" applyFill="1" applyBorder="1" applyAlignment="1">
      <alignment horizontal="center" vertical="center" indent="1"/>
    </xf>
    <xf numFmtId="2" fontId="39" fillId="35" borderId="10" xfId="0" applyNumberFormat="1" applyFont="1" applyFill="1" applyBorder="1" applyAlignment="1">
      <alignment horizontal="left" vertical="center" wrapText="1"/>
    </xf>
    <xf numFmtId="2" fontId="40" fillId="35" borderId="10" xfId="0" applyNumberFormat="1" applyFont="1" applyFill="1" applyBorder="1" applyAlignment="1">
      <alignment horizontal="left" vertical="center" indent="1"/>
    </xf>
    <xf numFmtId="2" fontId="41" fillId="35" borderId="10" xfId="0" applyNumberFormat="1" applyFont="1" applyFill="1" applyBorder="1" applyAlignment="1">
      <alignment horizontal="left" vertical="center" wrapText="1"/>
    </xf>
    <xf numFmtId="0" fontId="36" fillId="35" borderId="10" xfId="0" applyFont="1" applyFill="1" applyBorder="1" applyAlignment="1">
      <alignment horizontal="left" vertical="center" indent="1"/>
    </xf>
    <xf numFmtId="0" fontId="40" fillId="35" borderId="10" xfId="0" applyFont="1" applyFill="1" applyBorder="1" applyAlignment="1">
      <alignment horizontal="left" vertical="center" indent="1"/>
    </xf>
    <xf numFmtId="0" fontId="38" fillId="35" borderId="10" xfId="0" applyFont="1" applyFill="1" applyBorder="1" applyAlignment="1">
      <alignment horizontal="left" vertical="center" indent="1"/>
    </xf>
    <xf numFmtId="0" fontId="37" fillId="35" borderId="10" xfId="0" applyFont="1" applyFill="1" applyBorder="1" applyAlignment="1">
      <alignment horizontal="left" vertical="center" indent="1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25" fillId="35" borderId="11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indent="1"/>
    </xf>
    <xf numFmtId="0" fontId="25" fillId="35" borderId="15" xfId="0" applyFont="1" applyFill="1" applyBorder="1" applyAlignment="1">
      <alignment horizontal="center" vertical="center" wrapText="1"/>
    </xf>
    <xf numFmtId="2" fontId="25" fillId="35" borderId="15" xfId="0" applyNumberFormat="1" applyFont="1" applyFill="1" applyBorder="1" applyAlignment="1">
      <alignment horizontal="left" vertical="center" wrapText="1"/>
    </xf>
    <xf numFmtId="0" fontId="1" fillId="35" borderId="15" xfId="0" applyFont="1" applyFill="1" applyBorder="1" applyAlignment="1">
      <alignment horizontal="center" vertical="center"/>
    </xf>
    <xf numFmtId="0" fontId="25" fillId="35" borderId="16" xfId="0" applyFont="1" applyFill="1" applyBorder="1" applyAlignment="1">
      <alignment horizontal="left" vertical="center" wrapText="1"/>
    </xf>
    <xf numFmtId="0" fontId="1" fillId="35" borderId="15" xfId="0" applyFont="1" applyFill="1" applyBorder="1" applyAlignment="1">
      <alignment horizontal="center" vertical="center" indent="1"/>
    </xf>
    <xf numFmtId="0" fontId="1" fillId="37" borderId="10" xfId="0" applyFont="1" applyFill="1" applyBorder="1" applyAlignment="1">
      <alignment horizontal="center" vertical="center" indent="1"/>
    </xf>
    <xf numFmtId="0" fontId="1" fillId="37" borderId="10" xfId="0" applyFont="1" applyFill="1" applyBorder="1" applyAlignment="1">
      <alignment horizontal="left" vertical="center" indent="1"/>
    </xf>
    <xf numFmtId="0" fontId="1" fillId="37" borderId="13" xfId="0" applyFont="1" applyFill="1" applyBorder="1" applyAlignment="1">
      <alignment horizontal="center" vertical="center" indent="1"/>
    </xf>
    <xf numFmtId="0" fontId="1" fillId="37" borderId="14" xfId="0" applyFont="1" applyFill="1" applyBorder="1" applyAlignment="1">
      <alignment horizontal="center" vertical="center" indent="1"/>
    </xf>
    <xf numFmtId="0" fontId="1" fillId="37" borderId="14" xfId="0" applyFont="1" applyFill="1" applyBorder="1" applyAlignment="1">
      <alignment horizontal="left" vertical="center" indent="1"/>
    </xf>
    <xf numFmtId="0" fontId="25" fillId="37" borderId="10" xfId="0" applyFont="1" applyFill="1" applyBorder="1" applyAlignment="1">
      <alignment horizontal="center" vertical="center" wrapText="1"/>
    </xf>
    <xf numFmtId="0" fontId="34" fillId="37" borderId="10" xfId="0" applyFont="1" applyFill="1" applyBorder="1" applyAlignment="1">
      <alignment horizontal="left" vertical="center" wrapText="1" indent="1"/>
    </xf>
    <xf numFmtId="0" fontId="1" fillId="37" borderId="10" xfId="0" applyFont="1" applyFill="1" applyBorder="1" applyAlignment="1">
      <alignment horizontal="right" vertical="center" wrapText="1" indent="1"/>
    </xf>
    <xf numFmtId="0" fontId="23" fillId="37" borderId="10" xfId="0" applyFont="1" applyFill="1" applyBorder="1" applyAlignment="1">
      <alignment horizontal="center" vertical="center" wrapText="1"/>
    </xf>
    <xf numFmtId="0" fontId="34" fillId="37" borderId="11" xfId="0" applyFont="1" applyFill="1" applyBorder="1" applyAlignment="1">
      <alignment horizontal="center" vertical="center" indent="1"/>
    </xf>
    <xf numFmtId="0" fontId="34" fillId="37" borderId="11" xfId="0" applyFont="1" applyFill="1" applyBorder="1" applyAlignment="1">
      <alignment horizontal="left" vertical="center" indent="1"/>
    </xf>
    <xf numFmtId="0" fontId="34" fillId="37" borderId="10" xfId="0" applyFont="1" applyFill="1" applyBorder="1" applyAlignment="1">
      <alignment horizontal="right" vertical="center" indent="1"/>
    </xf>
    <xf numFmtId="0" fontId="34" fillId="37" borderId="11" xfId="0" applyFont="1" applyFill="1" applyBorder="1" applyAlignment="1">
      <alignment horizontal="right" vertical="center" indent="1"/>
    </xf>
    <xf numFmtId="0" fontId="1" fillId="37" borderId="10" xfId="0" applyFont="1" applyFill="1" applyBorder="1" applyAlignment="1">
      <alignment horizontal="center" vertical="center" wrapText="1" indent="1"/>
    </xf>
    <xf numFmtId="0" fontId="1" fillId="37" borderId="11" xfId="0" applyFont="1" applyFill="1" applyBorder="1" applyAlignment="1">
      <alignment horizontal="center" vertical="center" wrapText="1" indent="1"/>
    </xf>
    <xf numFmtId="0" fontId="1" fillId="37" borderId="11" xfId="0" applyFont="1" applyFill="1" applyBorder="1" applyAlignment="1">
      <alignment horizontal="right" vertical="center" wrapText="1" indent="1"/>
    </xf>
    <xf numFmtId="0" fontId="31" fillId="0" borderId="0" xfId="0" applyFont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indent="1"/>
    </xf>
    <xf numFmtId="0" fontId="21" fillId="34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" fillId="37" borderId="13" xfId="0" applyFont="1" applyFill="1" applyBorder="1" applyAlignment="1">
      <alignment horizontal="left" vertical="center" indent="1"/>
    </xf>
  </cellXfs>
  <cellStyles count="5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Moeda [0] 2" xfId="55" xr:uid="{B1BE0376-C435-4801-A592-6BDA1426B7F6}"/>
    <cellStyle name="Moeda [0] 3" xfId="50" xr:uid="{1596DD28-7CEB-47AA-9D11-555959DEF8E5}"/>
    <cellStyle name="Moeda 2" xfId="54" xr:uid="{C3731155-9EE0-4E56-942B-89C88D3A8133}"/>
    <cellStyle name="Moeda 3" xfId="49" xr:uid="{A9B1C1D1-CCCE-4730-961E-6B4373BF68FB}"/>
    <cellStyle name="Moeda 4" xfId="51" xr:uid="{88DEB44E-34FE-493A-B802-8F099C3EE62A}"/>
    <cellStyle name="Neutro" xfId="13" builtinId="28" customBuiltin="1"/>
    <cellStyle name="Normal" xfId="0" builtinId="0" customBuiltin="1"/>
    <cellStyle name="Normal 2" xfId="56" xr:uid="{ABB05CDD-025C-4537-9534-00DC3888F328}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Separador de milhares [0] 2" xfId="53" xr:uid="{3AD4554F-2F71-4BB1-9559-E7E7BFDF81A4}"/>
    <cellStyle name="Separador de milhares [0] 3" xfId="48" xr:uid="{F0C81799-1763-484E-9FE2-89A239525828}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  <cellStyle name="Vírgula 2" xfId="52" xr:uid="{9F6D5A9B-F6C4-4D69-81A0-6EB3127C2C55}"/>
    <cellStyle name="Vírgula 3" xfId="47" xr:uid="{4A5B9296-E3A0-4FBF-B778-0C6AC67E884E}"/>
  </cellStyles>
  <dxfs count="457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456"/>
      <tableStyleElement type="headerRow" dxfId="455"/>
      <tableStyleElement type="secondRowStripe" dxfId="4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66675</xdr:rowOff>
    </xdr:from>
    <xdr:to>
      <xdr:col>5</xdr:col>
      <xdr:colOff>1895289</xdr:colOff>
      <xdr:row>0</xdr:row>
      <xdr:rowOff>1392783</xdr:rowOff>
    </xdr:to>
    <xdr:pic>
      <xdr:nvPicPr>
        <xdr:cNvPr id="4" name="Imagem 1" descr="Banner de resumo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9" y="66675"/>
          <a:ext cx="3197226" cy="1326108"/>
        </a:xfrm>
        <a:prstGeom prst="rect">
          <a:avLst/>
        </a:prstGeom>
      </xdr:spPr>
    </xdr:pic>
    <xdr:clientData/>
  </xdr:twoCellAnchor>
  <xdr:oneCellAnchor>
    <xdr:from>
      <xdr:col>0</xdr:col>
      <xdr:colOff>105554</xdr:colOff>
      <xdr:row>0</xdr:row>
      <xdr:rowOff>250825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B4F2335-5682-E7F6-0444-BD377792899C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 txBox="1"/>
      </xdr:nvSpPr>
      <xdr:spPr>
        <a:xfrm>
          <a:off x="105554" y="250825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85725</xdr:rowOff>
    </xdr:from>
    <xdr:to>
      <xdr:col>10</xdr:col>
      <xdr:colOff>2059668</xdr:colOff>
      <xdr:row>0</xdr:row>
      <xdr:rowOff>1411833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E791BDC1-42F9-4D33-89AB-827DECEB3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749" y="85725"/>
          <a:ext cx="3143251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4</xdr:col>
      <xdr:colOff>0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D488D6-607F-4CF2-909A-33B4E00710A5}"/>
            </a:ext>
            <a:ext uri="{147F2762-F138-4A5C-976F-8EAC2B608ADB}">
              <a16:predDERef xmlns:a16="http://schemas.microsoft.com/office/drawing/2014/main" pred="{47A59FF7-D853-42E3-86A2-3A8A24AAA305}"/>
            </a:ext>
          </a:extLst>
        </xdr:cNvPr>
        <xdr:cNvSpPr txBox="1"/>
      </xdr:nvSpPr>
      <xdr:spPr>
        <a:xfrm>
          <a:off x="124604" y="165100"/>
          <a:ext cx="3078971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85725</xdr:rowOff>
    </xdr:from>
    <xdr:to>
      <xdr:col>5</xdr:col>
      <xdr:colOff>2124075</xdr:colOff>
      <xdr:row>0</xdr:row>
      <xdr:rowOff>1411833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36474E5B-3CBB-4232-9094-FEDB8ABF3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749" y="85725"/>
          <a:ext cx="3143251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5</xdr:col>
      <xdr:colOff>1838325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EF86BA-7E46-407D-8F5B-ED9EA2829DAC}"/>
            </a:ext>
            <a:ext uri="{147F2762-F138-4A5C-976F-8EAC2B608ADB}">
              <a16:predDERef xmlns:a16="http://schemas.microsoft.com/office/drawing/2014/main" pred="{47A59FF7-D853-42E3-86A2-3A8A24AAA305}"/>
            </a:ext>
          </a:extLst>
        </xdr:cNvPr>
        <xdr:cNvSpPr txBox="1"/>
      </xdr:nvSpPr>
      <xdr:spPr>
        <a:xfrm>
          <a:off x="124604" y="165100"/>
          <a:ext cx="3078971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85725</xdr:rowOff>
    </xdr:from>
    <xdr:to>
      <xdr:col>5</xdr:col>
      <xdr:colOff>1847850</xdr:colOff>
      <xdr:row>0</xdr:row>
      <xdr:rowOff>1411833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47A59FF7-D853-42E3-86A2-3A8A24AAA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749" y="85725"/>
          <a:ext cx="3197226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5</xdr:col>
      <xdr:colOff>1838325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3BDAE1-D22F-46CB-A922-F6256260AF0B}"/>
            </a:ext>
            <a:ext uri="{147F2762-F138-4A5C-976F-8EAC2B608ADB}">
              <a16:predDERef xmlns:a16="http://schemas.microsoft.com/office/drawing/2014/main" pred="{47A59FF7-D853-42E3-86A2-3A8A24AAA305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85725</xdr:rowOff>
    </xdr:from>
    <xdr:to>
      <xdr:col>5</xdr:col>
      <xdr:colOff>1752600</xdr:colOff>
      <xdr:row>0</xdr:row>
      <xdr:rowOff>1411833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9902022D-DB96-4126-B764-B27D9F657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749" y="85725"/>
          <a:ext cx="3143251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5</xdr:col>
      <xdr:colOff>1838325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FB0615-4281-417D-A98B-00C74BBD466C}"/>
            </a:ext>
            <a:ext uri="{147F2762-F138-4A5C-976F-8EAC2B608ADB}">
              <a16:predDERef xmlns:a16="http://schemas.microsoft.com/office/drawing/2014/main" pred="{47A59FF7-D853-42E3-86A2-3A8A24AAA305}"/>
            </a:ext>
          </a:extLst>
        </xdr:cNvPr>
        <xdr:cNvSpPr txBox="1"/>
      </xdr:nvSpPr>
      <xdr:spPr>
        <a:xfrm>
          <a:off x="124604" y="165100"/>
          <a:ext cx="3078971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66675</xdr:rowOff>
    </xdr:from>
    <xdr:to>
      <xdr:col>5</xdr:col>
      <xdr:colOff>2121423</xdr:colOff>
      <xdr:row>0</xdr:row>
      <xdr:rowOff>1392783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8C76D099-7756-441D-A909-8D66B4BC7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9" y="66675"/>
          <a:ext cx="3143251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4</xdr:col>
      <xdr:colOff>0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4749A4-C9AF-4585-AC5C-401587FB5B08}"/>
            </a:ext>
            <a:ext uri="{147F2762-F138-4A5C-976F-8EAC2B608ADB}">
              <a16:predDERef xmlns:a16="http://schemas.microsoft.com/office/drawing/2014/main" pred="{5F88A13F-9D1F-43AD-AE8E-264EF7A8EAC2}"/>
            </a:ext>
          </a:extLst>
        </xdr:cNvPr>
        <xdr:cNvSpPr txBox="1"/>
      </xdr:nvSpPr>
      <xdr:spPr>
        <a:xfrm>
          <a:off x="124604" y="165100"/>
          <a:ext cx="3078971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66675</xdr:rowOff>
    </xdr:from>
    <xdr:to>
      <xdr:col>5</xdr:col>
      <xdr:colOff>2286000</xdr:colOff>
      <xdr:row>0</xdr:row>
      <xdr:rowOff>1392783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5F88A13F-9D1F-43AD-AE8E-264EF7A8E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9" y="66675"/>
          <a:ext cx="3197226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5</xdr:col>
      <xdr:colOff>1838325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4FA1AE-BA85-4C32-B69C-81D9ECDC1891}"/>
            </a:ext>
            <a:ext uri="{147F2762-F138-4A5C-976F-8EAC2B608ADB}">
              <a16:predDERef xmlns:a16="http://schemas.microsoft.com/office/drawing/2014/main" pred="{5F88A13F-9D1F-43AD-AE8E-264EF7A8EAC2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66675</xdr:rowOff>
    </xdr:from>
    <xdr:to>
      <xdr:col>10</xdr:col>
      <xdr:colOff>2095500</xdr:colOff>
      <xdr:row>0</xdr:row>
      <xdr:rowOff>1392783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6A91C004-F9E2-4411-840C-30F53C7C0B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9" y="66675"/>
          <a:ext cx="3197226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4</xdr:col>
      <xdr:colOff>0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1C8A88-9A3A-4FF8-ADB0-3FC892FFAB4A}"/>
            </a:ext>
            <a:ext uri="{147F2762-F138-4A5C-976F-8EAC2B608ADB}">
              <a16:predDERef xmlns:a16="http://schemas.microsoft.com/office/drawing/2014/main" pred="{6A91C004-F9E2-4411-840C-30F53C7C0B4A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66675</xdr:rowOff>
    </xdr:from>
    <xdr:to>
      <xdr:col>5</xdr:col>
      <xdr:colOff>2324100</xdr:colOff>
      <xdr:row>0</xdr:row>
      <xdr:rowOff>1392783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99161606-2155-4E54-BC38-2F9D2952A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9" y="66675"/>
          <a:ext cx="3143251" cy="1326108"/>
        </a:xfrm>
        <a:prstGeom prst="rect">
          <a:avLst/>
        </a:prstGeom>
      </xdr:spPr>
    </xdr:pic>
    <xdr:clientData/>
  </xdr:twoCellAnchor>
  <xdr:twoCellAnchor>
    <xdr:from>
      <xdr:col>0</xdr:col>
      <xdr:colOff>124604</xdr:colOff>
      <xdr:row>0</xdr:row>
      <xdr:rowOff>165100</xdr:rowOff>
    </xdr:from>
    <xdr:to>
      <xdr:col>5</xdr:col>
      <xdr:colOff>1838325</xdr:colOff>
      <xdr:row>0</xdr:row>
      <xdr:rowOff>1422399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B3C63B-4855-48C2-A5D6-9C1C46A1A404}"/>
            </a:ext>
            <a:ext uri="{147F2762-F138-4A5C-976F-8EAC2B608ADB}">
              <a16:predDERef xmlns:a16="http://schemas.microsoft.com/office/drawing/2014/main" pred="{6A91C004-F9E2-4411-840C-30F53C7C0B4A}"/>
            </a:ext>
          </a:extLst>
        </xdr:cNvPr>
        <xdr:cNvSpPr txBox="1"/>
      </xdr:nvSpPr>
      <xdr:spPr>
        <a:xfrm>
          <a:off x="124604" y="165100"/>
          <a:ext cx="3078971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4:D14" headerRowDxfId="433" dataDxfId="432">
  <autoFilter ref="B4:D14" xr:uid="{00000000-0009-0000-0100-000001000000}"/>
  <tableColumns count="3">
    <tableColumn id="1" xr3:uid="{00000000-0010-0000-0000-000001000000}" name="Para reordenar" totalsRowLabel="Total" dataDxfId="430" totalsRowDxfId="431">
      <calculatedColumnFormula>IFERROR((#REF!&lt;=#REF!)*(#REF!="")*RealceValor,0)</calculatedColumnFormula>
    </tableColumn>
    <tableColumn id="3" xr3:uid="{4A3A3903-C086-4D3E-9A81-84EAA2C6BB2B}" name="Equipe" dataDxfId="428" totalsRowDxfId="429"/>
    <tableColumn id="5" xr3:uid="{5883291B-324C-40A0-8DC6-D8CDC0694B03}" name="Solicitante" dataDxfId="426" totalsRowDxfId="427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6D1FC4-C12C-45F4-B758-187BC31B87D0}" name="Inventory_List_Table457" displayName="Inventory_List_Table457" ref="B4:H17" headerRowDxfId="401" dataDxfId="400">
  <autoFilter ref="B4:H17" xr:uid="{D6F584EB-7AEC-45BB-99CB-3C519DA1FD3B}"/>
  <tableColumns count="7">
    <tableColumn id="1" xr3:uid="{93552FB7-4CCC-420C-8759-D6B582711353}" name="Para reordenar" totalsRowLabel="Total" dataDxfId="398" totalsRowDxfId="399">
      <calculatedColumnFormula>IFERROR((#REF!&lt;=#REF!)*(#REF!="")*RealceValor,0)</calculatedColumnFormula>
    </tableColumn>
    <tableColumn id="3" xr3:uid="{95F5B249-5E5E-4E42-9E93-CE7622F11F1E}" name="Equipe" dataDxfId="396" totalsRowDxfId="397"/>
    <tableColumn id="5" xr3:uid="{DBF859AD-A3CC-4561-A763-F8D45AD3A036}" name="Solicitante" dataDxfId="394" totalsRowDxfId="395"/>
    <tableColumn id="8" xr3:uid="{B60EF98A-AEB8-496A-89EC-E67CF6AE2D8E}" name="Dimensão" dataDxfId="392" totalsRowDxfId="393"/>
    <tableColumn id="9" xr3:uid="{FF079569-6069-40E8-AEDE-349EAA9D5083}" name="Data de Entrega" dataDxfId="390" totalsRowDxfId="391"/>
    <tableColumn id="10" xr3:uid="{2839D4AC-3BAD-41D2-89E1-ADC15F8FDD7E}" name="Quantidade a encomendar" dataDxfId="388" totalsRowDxfId="389"/>
    <tableColumn id="11" xr3:uid="{54751D07-CC05-46DC-9582-DAA918EE3E8F}" name="Tem Estoque?" totalsRowFunction="count" dataDxfId="386" totalsRowDxfId="387"/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2C01A3-09EB-4E19-8DBC-C364066448E1}" name="Inventory_List_Table4510" displayName="Inventory_List_Table4510" ref="B4:K29" headerRowDxfId="375" dataDxfId="374">
  <autoFilter ref="B4:K29" xr:uid="{D6F584EB-7AEC-45BB-99CB-3C519DA1FD3B}"/>
  <tableColumns count="10">
    <tableColumn id="1" xr3:uid="{C8D8F508-1BA4-423C-A1D6-56296592421F}" name="Para reordenar" totalsRowLabel="Total" dataDxfId="372" totalsRowDxfId="373">
      <calculatedColumnFormula>IFERROR((#REF!&lt;=#REF!)*(#REF!="")*RealceValor,0)</calculatedColumnFormula>
    </tableColumn>
    <tableColumn id="3" xr3:uid="{76E19E20-373F-4629-8915-0B642479FA9E}" name="Equipe" dataDxfId="370" totalsRowDxfId="371"/>
    <tableColumn id="5" xr3:uid="{F9D3EA72-0A0A-4C82-8751-9166B502DA73}" name="Solicitante" dataDxfId="368" totalsRowDxfId="369"/>
    <tableColumn id="2" xr3:uid="{5736AD6B-3FAF-4E30-A723-6F5E57624FFE}" name="Código do Item" dataDxfId="366" totalsRowDxfId="367"/>
    <tableColumn id="4" xr3:uid="{367E042D-DF12-4CC3-895C-5214E84EA025}" name="Descrição" dataDxfId="364" totalsRowDxfId="365"/>
    <tableColumn id="6" xr3:uid="{C7ED137C-1740-478D-95E3-F9E61FF8F686}" name="Quantidade" dataDxfId="363"/>
    <tableColumn id="8" xr3:uid="{DAB94C96-6BE4-4676-8970-09E6CB9B538F}" name="Dimensão" dataDxfId="361" totalsRowDxfId="362"/>
    <tableColumn id="9" xr3:uid="{1D66DAB1-A80A-47A9-9581-3ED8831C79A6}" name="Data de Entrega" dataDxfId="359" totalsRowDxfId="360"/>
    <tableColumn id="10" xr3:uid="{B012E87D-9DD9-4020-A247-9B378930AD59}" name="Quantidade a encomendar" dataDxfId="357" totalsRowDxfId="358"/>
    <tableColumn id="11" xr3:uid="{39328BBF-8D89-49BD-8BEA-073C543185A3}" name="Tem Estoque?" totalsRowFunction="count" dataDxfId="355" totalsRowDxfId="356"/>
  </tableColumns>
  <tableStyleInfo name="Tabela de empresa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7BE892-489B-4ABA-9267-18CC32EC1FD9}" name="Inventory_List_Table6" displayName="Inventory_List_Table6" ref="B2:K25" headerRowDxfId="324" dataDxfId="323">
  <autoFilter ref="B2:K25" xr:uid="{00000000-0009-0000-0100-000001000000}"/>
  <tableColumns count="10">
    <tableColumn id="1" xr3:uid="{174511FD-003A-426A-9D96-91FDB2425094}" name="Para reordenar" totalsRowLabel="Total" dataDxfId="321" totalsRowDxfId="322">
      <calculatedColumnFormula>IFERROR((Inventory_List_Table6[[#This Row],[Quantidade]]&lt;=Inventory_List_Table6[[#This Row],[Dimensão]])*(Inventory_List_Table6[[#This Row],[Tem Estoque?]]="")*RealceValor,0)</calculatedColumnFormula>
    </tableColumn>
    <tableColumn id="3" xr3:uid="{8FF77156-CC69-46A5-A7A3-C08CB8E34AD0}" name="Equipe" dataDxfId="319" totalsRowDxfId="320"/>
    <tableColumn id="5" xr3:uid="{9A09D835-E10E-40F1-8FEF-8A17F67DB671}" name="Solicitante" dataDxfId="317" totalsRowDxfId="318"/>
    <tableColumn id="2" xr3:uid="{F8201359-7EA2-4274-9D77-AB028EC91DB7}" name="Código" dataDxfId="315" totalsRowDxfId="316"/>
    <tableColumn id="4" xr3:uid="{06AB3AB2-CDC5-4E91-9C34-284C4FDDDE2F}" name="Descrição" dataDxfId="313" totalsRowDxfId="314"/>
    <tableColumn id="6" xr3:uid="{ED415AF7-FE9E-48C6-887A-8B2F5896A143}" name="Quantidade" dataDxfId="312"/>
    <tableColumn id="8" xr3:uid="{4A8A9B02-7962-410C-854A-607B184EB35F}" name="Dimensão" dataDxfId="310" totalsRowDxfId="311"/>
    <tableColumn id="9" xr3:uid="{962EC4A9-9C3A-400C-B3F7-9C501EFDA2DC}" name="Data de Entrega" dataDxfId="308" totalsRowDxfId="309"/>
    <tableColumn id="10" xr3:uid="{C57DF2D9-4623-487F-AEF7-B5482270132C}" name="Quantidade a encomendar" dataDxfId="306" totalsRowDxfId="307"/>
    <tableColumn id="11" xr3:uid="{628306D4-EC39-449E-B9AB-A80A596966A0}" name="Tem Estoque?" totalsRowFunction="count" dataDxfId="304" totalsRowDxfId="305"/>
  </tableColumns>
  <tableStyleInfo name="Tabela de empres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02494A-320C-48FB-8897-84D01A660615}" name="Inventory_List_Table45" displayName="Inventory_List_Table45" ref="B4:K24" headerRowDxfId="287" dataDxfId="286">
  <autoFilter ref="B4:K24" xr:uid="{D6F584EB-7AEC-45BB-99CB-3C519DA1FD3B}"/>
  <tableColumns count="10">
    <tableColumn id="1" xr3:uid="{6AC38551-5787-4BC2-9516-7C245D431928}" name="Para reordenar" totalsRowLabel="Total" dataDxfId="284" totalsRowDxfId="285">
      <calculatedColumnFormula>IFERROR((#REF!&lt;=#REF!)*(#REF!="")*RealceValor,0)</calculatedColumnFormula>
    </tableColumn>
    <tableColumn id="3" xr3:uid="{0D74E0D9-9B40-42B2-ACD9-D251A7277800}" name="Equipe" dataDxfId="282" totalsRowDxfId="283"/>
    <tableColumn id="5" xr3:uid="{B1F87392-FCDD-4703-9443-1C9AEF5AD7E0}" name="Solicitante" dataDxfId="280" totalsRowDxfId="281"/>
    <tableColumn id="2" xr3:uid="{C552D530-5081-41CE-8515-46C27A2F1DB6}" name="Código do Item" dataDxfId="278" totalsRowDxfId="279"/>
    <tableColumn id="4" xr3:uid="{33534C36-20FD-4AD5-97A2-A16C785ABC24}" name="Descrição" dataDxfId="276" totalsRowDxfId="277"/>
    <tableColumn id="6" xr3:uid="{18CD4592-FBFA-4365-BB27-3C551F7EC791}" name="Quantidade" dataDxfId="275"/>
    <tableColumn id="8" xr3:uid="{ABD5621B-77A0-4589-8DAC-2B7B1FAB573D}" name="Dimensão" dataDxfId="273" totalsRowDxfId="274"/>
    <tableColumn id="9" xr3:uid="{F66FFD20-2D83-4261-9598-0E0D1556977B}" name="Data de Entrega" dataDxfId="271" totalsRowDxfId="272"/>
    <tableColumn id="10" xr3:uid="{B23FBAD8-FD74-4436-8514-2DF299B91157}" name="Quantidade a encomendar" dataDxfId="269" totalsRowDxfId="270"/>
    <tableColumn id="11" xr3:uid="{4F00519A-0C3B-4432-8461-4E119AD83874}" name="Tem Estoque?" totalsRowFunction="count" dataDxfId="267" totalsRowDxfId="268"/>
  </tableColumns>
  <tableStyleInfo name="Tabela de empres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3EE97C-D18E-4E5E-B39C-62DE452CC02E}" name="Inventory_List_Table4511" displayName="Inventory_List_Table4511" ref="B4:K27" headerRowDxfId="242" dataDxfId="241">
  <autoFilter ref="B4:K27" xr:uid="{D6F584EB-7AEC-45BB-99CB-3C519DA1FD3B}"/>
  <tableColumns count="10">
    <tableColumn id="1" xr3:uid="{261E1EC3-C257-4373-B9A5-6605201059B6}" name="Para reordenar" totalsRowLabel="Total" dataDxfId="239" totalsRowDxfId="240">
      <calculatedColumnFormula>IFERROR((#REF!&lt;=#REF!)*(#REF!="")*RealceValor,0)</calculatedColumnFormula>
    </tableColumn>
    <tableColumn id="3" xr3:uid="{937AE85F-29EC-417B-BD0C-189BD8572CA6}" name="Equipe" dataDxfId="237" totalsRowDxfId="238"/>
    <tableColumn id="5" xr3:uid="{A1AD74C2-554F-4DFC-B290-755C468DA76A}" name="Solicitante" dataDxfId="235" totalsRowDxfId="236"/>
    <tableColumn id="2" xr3:uid="{304ADD33-36FA-4AD5-8031-B579E32198EA}" name="Código do Item" dataDxfId="233" totalsRowDxfId="234"/>
    <tableColumn id="4" xr3:uid="{9858D49B-3B32-4858-BC79-DE14305B95F7}" name="Descrição" dataDxfId="231" totalsRowDxfId="232"/>
    <tableColumn id="6" xr3:uid="{E190FC91-B8CC-41E5-9259-5E7907AB3C2C}" name="Quantidade" dataDxfId="230"/>
    <tableColumn id="8" xr3:uid="{A60422C8-BC2A-4FEC-89FC-E84E141E7AE4}" name="Dimensão" dataDxfId="228" totalsRowDxfId="229"/>
    <tableColumn id="9" xr3:uid="{97404E54-EDB9-47B1-81A9-DB74F63C3107}" name="Data de Entrega" dataDxfId="226" totalsRowDxfId="227"/>
    <tableColumn id="10" xr3:uid="{51E41003-BFE2-4456-8DE6-835DEDFC616A}" name="Quantidade a encomendar" dataDxfId="224" totalsRowDxfId="225"/>
    <tableColumn id="11" xr3:uid="{03AA3BD4-7B1A-49F5-9385-EB0B3EE9520E}" name="Tem Estoque?" totalsRowFunction="count" dataDxfId="222" totalsRowDxfId="223"/>
  </tableColumns>
  <tableStyleInfo name="Tabela de empresa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577D38-1304-451D-BA52-A8AA15259287}" name="Inventory_List_Table48" displayName="Inventory_List_Table48" ref="B5:D21" headerRowDxfId="201" dataDxfId="200">
  <autoFilter ref="B5:D21" xr:uid="{D15351A1-329A-46E1-B1B6-6F62ED4F9F46}"/>
  <tableColumns count="3">
    <tableColumn id="1" xr3:uid="{30025FEC-8B63-4B7F-87A7-2E32E5F52C08}" name="Para reordenar" totalsRowLabel="Total" dataDxfId="198" totalsRowDxfId="199">
      <calculatedColumnFormula>IFERROR((#REF!&lt;=#REF!)*(#REF!="")*RealceValor,0)</calculatedColumnFormula>
    </tableColumn>
    <tableColumn id="3" xr3:uid="{3AE44471-C4E3-4825-993A-866E6FCEF7B3}" name="Equipe" dataDxfId="196" totalsRowDxfId="197"/>
    <tableColumn id="5" xr3:uid="{BB4CA480-C1FE-4D88-A6DD-25FDF4B45072}" name="Solicitante" dataDxfId="194" totalsRowDxfId="195"/>
  </tableColumns>
  <tableStyleInfo name="Tabela de empresa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5351A1-329A-46E1-B1B6-6F62ED4F9F46}" name="Inventory_List_Table4" displayName="Inventory_List_Table4" ref="B5:K16" headerRowDxfId="151" dataDxfId="150">
  <autoFilter ref="B5:K16" xr:uid="{D15351A1-329A-46E1-B1B6-6F62ED4F9F46}"/>
  <sortState xmlns:xlrd2="http://schemas.microsoft.com/office/spreadsheetml/2017/richdata2" ref="B6:K16">
    <sortCondition ref="F5:F16"/>
  </sortState>
  <tableColumns count="10">
    <tableColumn id="1" xr3:uid="{3F67EF42-6AF0-42AA-9758-4388AEC5FA3C}" name="Para reordenar" totalsRowLabel="Total" dataDxfId="148" totalsRowDxfId="149">
      <calculatedColumnFormula>IFERROR((#REF!&lt;=#REF!)*(#REF!="")*RealceValor,0)</calculatedColumnFormula>
    </tableColumn>
    <tableColumn id="3" xr3:uid="{DCF0E010-2A74-4A64-B55E-F1C3DC89A0C8}" name="Equipe" dataDxfId="146" totalsRowDxfId="147"/>
    <tableColumn id="5" xr3:uid="{D9930384-A1E6-4E64-BA19-962F768D74B9}" name="Solicitante" dataDxfId="144" totalsRowDxfId="145"/>
    <tableColumn id="2" xr3:uid="{AB4BCAAA-82CB-424C-AE4D-5ECF8CB742E6}" name="Código do Item" dataDxfId="142" totalsRowDxfId="143"/>
    <tableColumn id="4" xr3:uid="{AF0899CB-BF70-4774-A2F1-045E8F6FAFA3}" name="Descrição" dataDxfId="140" totalsRowDxfId="141"/>
    <tableColumn id="6" xr3:uid="{37C814DA-EFF2-4AC2-B2BD-F7D465EFCD7D}" name="Quantidade" dataDxfId="139"/>
    <tableColumn id="8" xr3:uid="{407DC351-216C-4759-AE57-03D734BD4793}" name="Dimensão" dataDxfId="137" totalsRowDxfId="138"/>
    <tableColumn id="9" xr3:uid="{F5D4D984-99C2-4BE2-A9CE-8CA3582DEBC9}" name="Data de Entrega" dataDxfId="135" totalsRowDxfId="136"/>
    <tableColumn id="10" xr3:uid="{21A7ECF0-4B1F-43C4-9B4F-1047D555E75D}" name="Quantidade a encomendar" dataDxfId="133" totalsRowDxfId="134"/>
    <tableColumn id="11" xr3:uid="{307042F0-7C2B-4BBF-90F5-A88C83B72433}" name="Tem Estoque?" totalsRowFunction="count" dataDxfId="131" totalsRowDxfId="132"/>
  </tableColumns>
  <tableStyleInfo name="Tabela de empresas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D7577-6FAA-48C1-A78A-AACC9AC5E81C}" name="Inventory_List_Table43" displayName="Inventory_List_Table43" ref="B5:H20" headerRowDxfId="116" dataDxfId="115">
  <autoFilter ref="B5:H20" xr:uid="{D15351A1-329A-46E1-B1B6-6F62ED4F9F46}"/>
  <tableColumns count="7">
    <tableColumn id="1" xr3:uid="{68B29E71-93AA-487F-B510-F1690691B081}" name="Para reordenar" totalsRowLabel="Total" dataDxfId="113" totalsRowDxfId="114">
      <calculatedColumnFormula>IFERROR((#REF!&lt;=#REF!)*(#REF!="")*RealceValor,0)</calculatedColumnFormula>
    </tableColumn>
    <tableColumn id="3" xr3:uid="{B47E13D7-903F-49A0-8936-14ABE6122A73}" name="Equipe" dataDxfId="111" totalsRowDxfId="112"/>
    <tableColumn id="5" xr3:uid="{E786FE3B-1EC2-49DF-97F6-F083157F131E}" name="Solicitante" dataDxfId="109" totalsRowDxfId="110"/>
    <tableColumn id="8" xr3:uid="{4C829E69-708A-41F4-8A5A-245AAF81F1FE}" name="Dimensão" dataDxfId="107" totalsRowDxfId="108"/>
    <tableColumn id="9" xr3:uid="{AF312DB5-8BF0-4EB1-9619-04E38A79AD9A}" name="Data de Entrega" dataDxfId="105" totalsRowDxfId="106"/>
    <tableColumn id="10" xr3:uid="{E116CE5D-7046-4985-A234-BF7BE1481930}" name="Quantidade a encomendar" dataDxfId="103" totalsRowDxfId="104"/>
    <tableColumn id="11" xr3:uid="{18EC331C-8F34-4093-8188-A2BDBBE6395D}" name="Tem Estoque?" totalsRowFunction="count" dataDxfId="101" totalsRowDxfId="102"/>
  </tableColumns>
  <tableStyleInfo name="Tabela de empresas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65954D-A19F-47F8-9F46-EBFBDCAB1FD4}" name="Inventory_List_Table439" displayName="Inventory_List_Table439" ref="B5:K20" headerRowDxfId="85" dataDxfId="84">
  <autoFilter ref="B5:K20" xr:uid="{D15351A1-329A-46E1-B1B6-6F62ED4F9F46}"/>
  <tableColumns count="10">
    <tableColumn id="1" xr3:uid="{04196B1E-2AF6-4D3D-8767-B5A4E3651B3B}" name="Para reordenar" totalsRowLabel="Total" dataDxfId="82" totalsRowDxfId="83">
      <calculatedColumnFormula>IFERROR((#REF!&lt;=#REF!)*(#REF!="")*RealceValor,0)</calculatedColumnFormula>
    </tableColumn>
    <tableColumn id="3" xr3:uid="{6C97F3A6-C73F-4680-B1C8-BEACE06EE339}" name="Equipe" dataDxfId="80" totalsRowDxfId="81"/>
    <tableColumn id="5" xr3:uid="{170C09F6-9C62-447A-8C46-115162E1A44B}" name="Solicitante" dataDxfId="78" totalsRowDxfId="79"/>
    <tableColumn id="2" xr3:uid="{4CFC5B8B-0B6A-4135-99FF-640E3F1E9E6F}" name="Código do Item" dataDxfId="76" totalsRowDxfId="77"/>
    <tableColumn id="4" xr3:uid="{8BFE8433-316B-4983-B909-22647B6D6581}" name="Descrição" dataDxfId="74" totalsRowDxfId="75"/>
    <tableColumn id="6" xr3:uid="{7671227E-EA3F-4C6D-9E73-10DB634C0775}" name="Quantidade" dataDxfId="73"/>
    <tableColumn id="8" xr3:uid="{9C09217F-F25B-4D1E-B980-EE4B854C07A9}" name="Dimensão" dataDxfId="71" totalsRowDxfId="72"/>
    <tableColumn id="9" xr3:uid="{24FFEB86-8899-4748-A094-F4DE2E09F8B5}" name="Data de Entrega" dataDxfId="69" totalsRowDxfId="70"/>
    <tableColumn id="10" xr3:uid="{2CE8D4B8-8FE9-4B8C-8B73-967E66AD22D2}" name="Quantidade a encomendar" dataDxfId="67" totalsRowDxfId="68"/>
    <tableColumn id="11" xr3:uid="{4A7EE390-ED65-4650-8A88-A1C63702B745}" name="Tem Estoque?" totalsRowFunction="count" dataDxfId="65" totalsRowDxfId="66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9"/>
  <sheetViews>
    <sheetView showGridLines="0" tabSelected="1" topLeftCell="A3" zoomScaleNormal="100" workbookViewId="0">
      <selection activeCell="E15" sqref="E15:G29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3.44140625" style="4" customWidth="1"/>
    <col min="6" max="6" width="46.21875" style="4" customWidth="1"/>
    <col min="7" max="7" width="19.77734375" style="3" customWidth="1"/>
    <col min="8" max="16384" width="8.77734375" style="4"/>
  </cols>
  <sheetData>
    <row r="1" spans="1:8" s="1" customFormat="1" ht="116.25" customHeight="1">
      <c r="B1" s="2"/>
      <c r="C1" s="2"/>
      <c r="D1" s="2"/>
      <c r="G1" s="2"/>
    </row>
    <row r="2" spans="1:8" s="1" customFormat="1" ht="64.5" customHeight="1">
      <c r="B2" s="2"/>
      <c r="C2" s="2"/>
      <c r="D2" s="2"/>
      <c r="E2" s="121" t="s">
        <v>0</v>
      </c>
      <c r="F2" s="121"/>
      <c r="G2" s="121"/>
      <c r="H2" s="61"/>
    </row>
    <row r="3" spans="1:8" ht="23.25" customHeight="1">
      <c r="E3" s="119" t="s">
        <v>1</v>
      </c>
      <c r="F3" s="120"/>
      <c r="G3" s="120"/>
    </row>
    <row r="4" spans="1:8" s="3" customFormat="1" ht="50.1" customHeight="1">
      <c r="B4" s="9" t="s">
        <v>2</v>
      </c>
      <c r="C4" s="9" t="s">
        <v>3</v>
      </c>
      <c r="D4" s="9" t="s">
        <v>4</v>
      </c>
      <c r="E4" s="14" t="s">
        <v>5</v>
      </c>
      <c r="F4" s="14" t="s">
        <v>6</v>
      </c>
      <c r="G4" s="14" t="s">
        <v>7</v>
      </c>
    </row>
    <row r="5" spans="1:8" s="3" customFormat="1" ht="24.75" customHeight="1">
      <c r="A5" s="4"/>
      <c r="B5" s="3">
        <f>IFERROR((#REF!&lt;=#REF!)*(#REF!="")*RealceValor,0)</f>
        <v>0</v>
      </c>
      <c r="E5" s="15"/>
      <c r="F5" s="30" t="s">
        <v>8</v>
      </c>
      <c r="G5" s="31"/>
      <c r="H5" s="4"/>
    </row>
    <row r="6" spans="1:8" ht="24" customHeight="1">
      <c r="B6" s="3">
        <f>IFERROR((#REF!&lt;=#REF!)*(#REF!="")*RealceValor,0)</f>
        <v>0</v>
      </c>
      <c r="E6" s="15">
        <v>23922</v>
      </c>
      <c r="F6" s="16" t="s">
        <v>9</v>
      </c>
      <c r="G6" s="31">
        <v>175</v>
      </c>
    </row>
    <row r="7" spans="1:8" ht="24" customHeight="1">
      <c r="B7" s="3">
        <f>IFERROR((#REF!&lt;=#REF!)*(#REF!="")*RealceValor,0)</f>
        <v>0</v>
      </c>
      <c r="E7" s="15">
        <v>39371</v>
      </c>
      <c r="F7" s="16" t="s">
        <v>10</v>
      </c>
      <c r="G7" s="31">
        <v>470</v>
      </c>
    </row>
    <row r="8" spans="1:8" ht="24" customHeight="1">
      <c r="B8" s="3">
        <f>IFERROR((#REF!&lt;=#REF!)*(#REF!="")*RealceValor,0)</f>
        <v>0</v>
      </c>
      <c r="E8" s="15">
        <v>49777</v>
      </c>
      <c r="F8" s="16" t="s">
        <v>11</v>
      </c>
      <c r="G8" s="31">
        <v>70</v>
      </c>
    </row>
    <row r="9" spans="1:8" ht="24" customHeight="1">
      <c r="B9" s="3">
        <f>IFERROR((#REF!&lt;=#REF!)*(#REF!="")*RealceValor,0)</f>
        <v>0</v>
      </c>
      <c r="E9" s="15">
        <v>14823</v>
      </c>
      <c r="F9" s="16" t="s">
        <v>12</v>
      </c>
      <c r="G9" s="31">
        <v>2000</v>
      </c>
    </row>
    <row r="10" spans="1:8" ht="24" customHeight="1">
      <c r="B10" s="3">
        <f>IFERROR((#REF!&lt;=#REF!)*(#REF!="")*RealceValor,0)</f>
        <v>0</v>
      </c>
      <c r="E10" s="17">
        <v>50069</v>
      </c>
      <c r="F10" s="16" t="s">
        <v>13</v>
      </c>
      <c r="G10" s="59">
        <v>12</v>
      </c>
    </row>
    <row r="11" spans="1:8" ht="24" customHeight="1">
      <c r="B11" s="3">
        <f>IFERROR((#REF!&lt;=#REF!)*(#REF!="")*RealceValor,0)</f>
        <v>0</v>
      </c>
      <c r="E11" s="47">
        <v>99163</v>
      </c>
      <c r="F11" s="48" t="s">
        <v>14</v>
      </c>
      <c r="G11" s="60">
        <v>8</v>
      </c>
    </row>
    <row r="12" spans="1:8" ht="24" customHeight="1">
      <c r="B12" s="3">
        <f>IFERROR((#REF!&lt;=#REF!)*(#REF!="")*RealceValor,0)</f>
        <v>0</v>
      </c>
      <c r="E12" s="21">
        <v>99159</v>
      </c>
      <c r="F12" s="24" t="s">
        <v>15</v>
      </c>
      <c r="G12" s="31">
        <v>2</v>
      </c>
    </row>
    <row r="13" spans="1:8" ht="24" customHeight="1">
      <c r="B13" s="3">
        <f>IFERROR((#REF!&lt;=#REF!)*(#REF!="")*RealceValor,0)</f>
        <v>0</v>
      </c>
      <c r="E13" s="21">
        <v>99160</v>
      </c>
      <c r="F13" s="24" t="s">
        <v>16</v>
      </c>
      <c r="G13" s="31">
        <v>2</v>
      </c>
    </row>
    <row r="14" spans="1:8" ht="24" customHeight="1">
      <c r="B14" s="3">
        <f>IFERROR((#REF!&lt;=#REF!)*(#REF!="")*RealceValor,0)</f>
        <v>0</v>
      </c>
      <c r="E14" s="21">
        <v>99155</v>
      </c>
      <c r="F14" s="25" t="s">
        <v>17</v>
      </c>
      <c r="G14" s="31">
        <v>5</v>
      </c>
    </row>
    <row r="15" spans="1:8" ht="24" customHeight="1">
      <c r="E15" s="100">
        <v>90609</v>
      </c>
      <c r="F15" s="101" t="s">
        <v>18</v>
      </c>
      <c r="G15" s="100">
        <v>100</v>
      </c>
    </row>
    <row r="16" spans="1:8" ht="24" customHeight="1">
      <c r="E16" s="100">
        <v>91458</v>
      </c>
      <c r="F16" s="101" t="s">
        <v>19</v>
      </c>
      <c r="G16" s="100">
        <v>80</v>
      </c>
    </row>
    <row r="17" spans="5:7" ht="24" customHeight="1">
      <c r="E17" s="100">
        <v>90607</v>
      </c>
      <c r="F17" s="101" t="s">
        <v>20</v>
      </c>
      <c r="G17" s="100">
        <v>50</v>
      </c>
    </row>
    <row r="18" spans="5:7" ht="24" customHeight="1">
      <c r="E18" s="100">
        <v>14823</v>
      </c>
      <c r="F18" s="101" t="s">
        <v>12</v>
      </c>
      <c r="G18" s="100">
        <v>250</v>
      </c>
    </row>
    <row r="19" spans="5:7" ht="24" customHeight="1">
      <c r="E19" s="100">
        <v>95860</v>
      </c>
      <c r="F19" s="101" t="s">
        <v>21</v>
      </c>
      <c r="G19" s="100">
        <v>170</v>
      </c>
    </row>
    <row r="20" spans="5:7" ht="24" customHeight="1">
      <c r="E20" s="100">
        <v>72755</v>
      </c>
      <c r="F20" s="101" t="s">
        <v>22</v>
      </c>
      <c r="G20" s="100">
        <v>215</v>
      </c>
    </row>
    <row r="21" spans="5:7" ht="24" customHeight="1">
      <c r="E21" s="100">
        <v>90608</v>
      </c>
      <c r="F21" s="101" t="s">
        <v>23</v>
      </c>
      <c r="G21" s="100">
        <v>400</v>
      </c>
    </row>
    <row r="22" spans="5:7" ht="24" customHeight="1">
      <c r="E22" s="100">
        <v>97790</v>
      </c>
      <c r="F22" s="101" t="s">
        <v>24</v>
      </c>
      <c r="G22" s="100" t="s">
        <v>25</v>
      </c>
    </row>
    <row r="23" spans="5:7" ht="24" customHeight="1">
      <c r="E23" s="100" t="s">
        <v>26</v>
      </c>
      <c r="F23" s="101" t="s">
        <v>27</v>
      </c>
      <c r="G23" s="100">
        <v>4</v>
      </c>
    </row>
    <row r="24" spans="5:7" ht="24" customHeight="1">
      <c r="E24" s="105">
        <v>99160</v>
      </c>
      <c r="F24" s="101" t="s">
        <v>16</v>
      </c>
      <c r="G24" s="100">
        <v>1</v>
      </c>
    </row>
    <row r="25" spans="5:7" ht="24" customHeight="1">
      <c r="E25" s="105" t="s">
        <v>28</v>
      </c>
      <c r="F25" s="101" t="s">
        <v>29</v>
      </c>
      <c r="G25" s="100" t="s">
        <v>30</v>
      </c>
    </row>
    <row r="26" spans="5:7" ht="24" customHeight="1">
      <c r="E26" s="105">
        <v>99155</v>
      </c>
      <c r="F26" s="101" t="s">
        <v>17</v>
      </c>
      <c r="G26" s="102">
        <v>2</v>
      </c>
    </row>
    <row r="27" spans="5:7" ht="24" customHeight="1">
      <c r="E27" s="102">
        <v>23922</v>
      </c>
      <c r="F27" s="128" t="s">
        <v>9</v>
      </c>
      <c r="G27" s="100">
        <v>40</v>
      </c>
    </row>
    <row r="28" spans="5:7" ht="24" customHeight="1">
      <c r="E28" s="102">
        <v>27139</v>
      </c>
      <c r="F28" s="128" t="s">
        <v>31</v>
      </c>
      <c r="G28" s="100">
        <v>150</v>
      </c>
    </row>
    <row r="29" spans="5:7" ht="24" customHeight="1">
      <c r="E29" s="102">
        <v>65025</v>
      </c>
      <c r="F29" s="128" t="s">
        <v>32</v>
      </c>
      <c r="G29" s="102">
        <v>150</v>
      </c>
    </row>
  </sheetData>
  <mergeCells count="2">
    <mergeCell ref="E3:G3"/>
    <mergeCell ref="E2:G2"/>
  </mergeCells>
  <conditionalFormatting sqref="E5:G6 B5:D14">
    <cfRule type="expression" dxfId="453" priority="427">
      <formula>#REF!="Sim"</formula>
    </cfRule>
    <cfRule type="expression" dxfId="452" priority="428">
      <formula>$B5=1</formula>
    </cfRule>
  </conditionalFormatting>
  <conditionalFormatting sqref="E7:G7 E8:F8">
    <cfRule type="expression" dxfId="451" priority="62">
      <formula>#REF!="Sim"</formula>
    </cfRule>
    <cfRule type="expression" dxfId="450" priority="63">
      <formula>#REF!=1</formula>
    </cfRule>
  </conditionalFormatting>
  <conditionalFormatting sqref="E9:G9">
    <cfRule type="expression" dxfId="449" priority="449">
      <formula>#REF!="Sim"</formula>
    </cfRule>
    <cfRule type="expression" dxfId="448" priority="450">
      <formula>$B7=1</formula>
    </cfRule>
  </conditionalFormatting>
  <conditionalFormatting sqref="E12:G14">
    <cfRule type="expression" dxfId="447" priority="19">
      <formula>$K12="Sim"</formula>
    </cfRule>
    <cfRule type="expression" dxfId="446" priority="20">
      <formula>$B12=1</formula>
    </cfRule>
  </conditionalFormatting>
  <conditionalFormatting sqref="G8">
    <cfRule type="expression" dxfId="445" priority="11">
      <formula>#REF!="Sim"</formula>
    </cfRule>
    <cfRule type="expression" dxfId="444" priority="12">
      <formula>$B6=1</formula>
    </cfRule>
  </conditionalFormatting>
  <conditionalFormatting sqref="E24:E26">
    <cfRule type="expression" dxfId="443" priority="9">
      <formula>$K24="Sim"</formula>
    </cfRule>
    <cfRule type="expression" dxfId="442" priority="10">
      <formula>$B24=1</formula>
    </cfRule>
  </conditionalFormatting>
  <conditionalFormatting sqref="E15:E23">
    <cfRule type="expression" dxfId="441" priority="6">
      <formula>$B15=1</formula>
    </cfRule>
  </conditionalFormatting>
  <dataValidations xWindow="67" yWindow="628" count="6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5" xr:uid="{00000000-0002-0000-0000-000001000000}"/>
    <dataValidation allowBlank="1" showInputMessage="1" showErrorMessage="1" prompt="Insira a ID de estoque do item nesta coluna" sqref="E4:E5" xr:uid="{00000000-0002-0000-0000-000002000000}"/>
    <dataValidation allowBlank="1" showInputMessage="1" showErrorMessage="1" prompt="Insira a quantidade em estoque de cada item nesta coluna" sqref="G4:G5" xr:uid="{00000000-0002-0000-0000-000009000000}"/>
    <dataValidation allowBlank="1" showInputMessage="1" showErrorMessage="1" prompt="Insira uma descrição do item nesta coluna" sqref="F4:F5" xr:uid="{00000000-0002-0000-0000-00000B000000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00000000-0002-0000-0000-00000E000000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00000000-0002-0000-0000-000000000000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4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B5:D14</xm:sqref>
        </x14:conditionalFormatting>
        <x14:conditionalFormatting xmlns:xm="http://schemas.microsoft.com/office/excel/2006/main">
          <x14:cfRule type="expression" priority="7" id="{FABD09AC-003C-4EB3-A672-387F1DA17583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8" id="{DC368BC5-BB25-4AA6-8FCC-79BF7E44B040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G25 E15:G24 F26:G29</xm:sqref>
        </x14:conditionalFormatting>
        <x14:conditionalFormatting xmlns:xm="http://schemas.microsoft.com/office/excel/2006/main">
          <x14:cfRule type="expression" priority="5" id="{B8556C48-5155-4E99-BB2E-0233CF0F5D2E}">
            <xm:f>'Kit Forro 3°'!#REF!="Sim"</xm:f>
            <x14:dxf>
              <font>
                <strike/>
                <color theme="1" tint="0.34998626667073579"/>
              </font>
            </x14:dxf>
          </x14:cfRule>
          <xm:sqref>E15:E23</xm:sqref>
        </x14:conditionalFormatting>
        <x14:conditionalFormatting xmlns:xm="http://schemas.microsoft.com/office/excel/2006/main">
          <x14:cfRule type="expression" priority="1" id="{802CC677-EEEB-4528-95A0-3D3E02E9F53C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2" id="{7B937825-0DC2-4AE3-83E2-9F536BF749FA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F25</xm:sqref>
        </x14:conditionalFormatting>
        <x14:conditionalFormatting xmlns:xm="http://schemas.microsoft.com/office/excel/2006/main">
          <x14:cfRule type="expression" priority="3" id="{E7833C6E-CE4F-4C2C-A896-E82E7D9BB44B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4" id="{313DA950-76F3-426C-ABA2-2B7755D77522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E27:E29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1CB5-1AA8-42DC-B063-C88D5B9A8AD1}">
  <sheetPr>
    <pageSetUpPr fitToPage="1"/>
  </sheetPr>
  <dimension ref="B1:M27"/>
  <sheetViews>
    <sheetView showGridLines="0" topLeftCell="I3" zoomScale="70" zoomScaleNormal="100" workbookViewId="0">
      <selection activeCell="J28" sqref="J28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0.88671875" style="8" hidden="1" customWidth="1"/>
    <col min="6" max="6" width="12.77734375" style="8" hidden="1" customWidth="1"/>
    <col min="7" max="7" width="14.33203125" style="8" hidden="1" customWidth="1"/>
    <col min="8" max="8" width="7.6640625" style="6" hidden="1" customWidth="1"/>
    <col min="9" max="9" width="1.77734375" style="4" customWidth="1"/>
    <col min="10" max="10" width="10.109375" style="4" customWidth="1"/>
    <col min="11" max="11" width="54.109375" style="4" customWidth="1"/>
    <col min="12" max="12" width="17" style="3" customWidth="1"/>
    <col min="13" max="16384" width="8.77734375" style="4"/>
  </cols>
  <sheetData>
    <row r="1" spans="2:13" s="1" customFormat="1" ht="116.25" customHeight="1">
      <c r="B1" s="2"/>
      <c r="C1" s="2"/>
      <c r="D1" s="2"/>
      <c r="E1" s="7"/>
      <c r="F1" s="7"/>
      <c r="I1" s="1" t="s">
        <v>33</v>
      </c>
      <c r="L1" s="2"/>
    </row>
    <row r="2" spans="2:13" s="1" customFormat="1" ht="63.75" customHeight="1">
      <c r="B2" s="2"/>
      <c r="C2" s="2"/>
      <c r="D2" s="2"/>
      <c r="E2" s="43"/>
      <c r="F2" s="7"/>
      <c r="J2" s="122" t="s">
        <v>34</v>
      </c>
      <c r="K2" s="122"/>
      <c r="L2" s="122"/>
      <c r="M2" s="61"/>
    </row>
    <row r="3" spans="2:13" ht="23.25" customHeight="1">
      <c r="E3" s="11"/>
      <c r="F3" s="11"/>
      <c r="G3" s="12"/>
      <c r="H3" s="13"/>
      <c r="J3" s="119" t="s">
        <v>35</v>
      </c>
      <c r="K3" s="120"/>
      <c r="L3" s="120"/>
    </row>
    <row r="4" spans="2:13" s="3" customFormat="1" ht="50.1" customHeight="1">
      <c r="B4" s="9" t="s">
        <v>2</v>
      </c>
      <c r="C4" s="9" t="s">
        <v>3</v>
      </c>
      <c r="D4" s="9" t="s">
        <v>4</v>
      </c>
      <c r="E4" s="9" t="s">
        <v>36</v>
      </c>
      <c r="F4" s="9" t="s">
        <v>37</v>
      </c>
      <c r="G4" s="9" t="s">
        <v>38</v>
      </c>
      <c r="H4" s="9" t="s">
        <v>39</v>
      </c>
      <c r="J4" s="14" t="s">
        <v>5</v>
      </c>
      <c r="K4" s="14" t="s">
        <v>6</v>
      </c>
      <c r="L4" s="14" t="s">
        <v>7</v>
      </c>
    </row>
    <row r="5" spans="2:13" ht="24" customHeight="1">
      <c r="B5" s="3">
        <f>IFERROR((#REF!&lt;=#REF!)*(#REF!="")*RealceValor,0)</f>
        <v>0</v>
      </c>
      <c r="J5" s="93"/>
      <c r="K5" s="94" t="s">
        <v>8</v>
      </c>
      <c r="L5" s="38"/>
    </row>
    <row r="6" spans="2:13" ht="26.25" customHeight="1">
      <c r="B6" s="3">
        <f>IFERROR((#REF!&lt;=#REF!)*(#REF!="")*RealceValor,0)</f>
        <v>0</v>
      </c>
      <c r="J6" s="15">
        <v>57952</v>
      </c>
      <c r="K6" s="16" t="s">
        <v>40</v>
      </c>
      <c r="L6" s="38">
        <v>17</v>
      </c>
    </row>
    <row r="7" spans="2:13" ht="26.25" customHeight="1">
      <c r="B7" s="3">
        <f>IFERROR((#REF!&lt;=#REF!)*(#REF!="")*RealceValor,0)</f>
        <v>0</v>
      </c>
      <c r="J7" s="15">
        <v>41057</v>
      </c>
      <c r="K7" s="98" t="s">
        <v>41</v>
      </c>
      <c r="L7" s="31" t="s">
        <v>42</v>
      </c>
    </row>
    <row r="8" spans="2:13" ht="26.25" customHeight="1">
      <c r="B8" s="3">
        <f>IFERROR((#REF!&lt;=#REF!)*(#REF!="")*RealceValor,0)</f>
        <v>0</v>
      </c>
      <c r="J8" s="15">
        <v>12289</v>
      </c>
      <c r="K8" s="16" t="s">
        <v>43</v>
      </c>
      <c r="L8" s="99" t="s">
        <v>44</v>
      </c>
    </row>
    <row r="9" spans="2:13" ht="26.25" customHeight="1">
      <c r="B9" s="3">
        <f>IFERROR((#REF!&lt;=#REF!)*(#REF!="")*RealceValor,0)</f>
        <v>0</v>
      </c>
      <c r="J9" s="15">
        <v>53679</v>
      </c>
      <c r="K9" s="16" t="s">
        <v>45</v>
      </c>
      <c r="L9" s="31" t="s">
        <v>46</v>
      </c>
    </row>
    <row r="10" spans="2:13" ht="26.25" customHeight="1">
      <c r="B10" s="3">
        <f>IFERROR((#REF!&lt;=#REF!)*(#REF!="")*RealceValor,0)</f>
        <v>0</v>
      </c>
      <c r="J10" s="15">
        <v>14390</v>
      </c>
      <c r="K10" s="18" t="s">
        <v>47</v>
      </c>
      <c r="L10" s="59">
        <v>10000</v>
      </c>
    </row>
    <row r="11" spans="2:13" ht="26.25" customHeight="1">
      <c r="B11" s="3">
        <f>IFERROR((#REF!&lt;=#REF!)*(#REF!="")*RealceValor,0)</f>
        <v>0</v>
      </c>
      <c r="J11" s="15">
        <v>78259</v>
      </c>
      <c r="K11" s="18" t="s">
        <v>48</v>
      </c>
      <c r="L11" s="59">
        <v>2000</v>
      </c>
    </row>
    <row r="12" spans="2:13" ht="26.25" customHeight="1">
      <c r="B12" s="3">
        <f>IFERROR((#REF!&lt;=#REF!)*(#REF!="")*RealceValor,0)</f>
        <v>0</v>
      </c>
      <c r="J12" s="95">
        <v>50693</v>
      </c>
      <c r="K12" s="96" t="s">
        <v>49</v>
      </c>
      <c r="L12" s="97">
        <v>13</v>
      </c>
    </row>
    <row r="13" spans="2:13" ht="26.25" customHeight="1">
      <c r="B13" s="3">
        <f>IFERROR((#REF!&lt;=#REF!)*(#REF!="")*RealceValor,0)</f>
        <v>0</v>
      </c>
      <c r="J13" s="15">
        <v>90737</v>
      </c>
      <c r="K13" s="18" t="s">
        <v>50</v>
      </c>
      <c r="L13" s="59">
        <v>5</v>
      </c>
    </row>
    <row r="14" spans="2:13" ht="26.25" customHeight="1">
      <c r="B14" s="3">
        <f>IFERROR((#REF!&lt;=#REF!)*(#REF!="")*RealceValor,0)</f>
        <v>0</v>
      </c>
      <c r="J14" s="15">
        <v>20236</v>
      </c>
      <c r="K14" s="18" t="s">
        <v>51</v>
      </c>
      <c r="L14" s="59">
        <v>3</v>
      </c>
    </row>
    <row r="15" spans="2:13" ht="26.25" customHeight="1">
      <c r="B15" s="3">
        <f>IFERROR((#REF!&lt;=#REF!)*(#REF!="")*RealceValor,0)</f>
        <v>0</v>
      </c>
      <c r="J15" s="15">
        <v>26481</v>
      </c>
      <c r="K15" s="18" t="s">
        <v>52</v>
      </c>
      <c r="L15" s="59">
        <v>30</v>
      </c>
    </row>
    <row r="16" spans="2:13" ht="26.25" customHeight="1">
      <c r="B16" s="3">
        <f>IFERROR((#REF!&lt;=#REF!)*(#REF!="")*RealceValor,0)</f>
        <v>0</v>
      </c>
      <c r="J16" s="15">
        <v>78571</v>
      </c>
      <c r="K16" s="18" t="s">
        <v>53</v>
      </c>
      <c r="L16" s="31">
        <v>5</v>
      </c>
    </row>
    <row r="17" spans="2:12" ht="26.25" customHeight="1">
      <c r="B17" s="3">
        <f>IFERROR((#REF!&lt;=#REF!)*(#REF!="")*RealceValor,0)</f>
        <v>0</v>
      </c>
      <c r="J17" s="15">
        <v>12262</v>
      </c>
      <c r="K17" s="18" t="s">
        <v>54</v>
      </c>
      <c r="L17" s="31">
        <v>50</v>
      </c>
    </row>
    <row r="18" spans="2:12" ht="26.25" customHeight="1">
      <c r="J18" s="100">
        <v>53679</v>
      </c>
      <c r="K18" s="101" t="s">
        <v>45</v>
      </c>
      <c r="L18" s="100">
        <v>55</v>
      </c>
    </row>
    <row r="19" spans="2:12" ht="24" customHeight="1">
      <c r="J19" s="100">
        <v>53678</v>
      </c>
      <c r="K19" s="101" t="s">
        <v>55</v>
      </c>
      <c r="L19" s="100">
        <v>22</v>
      </c>
    </row>
    <row r="20" spans="2:12" ht="24" customHeight="1">
      <c r="J20" s="100">
        <v>14390</v>
      </c>
      <c r="K20" s="101" t="s">
        <v>47</v>
      </c>
      <c r="L20" s="100">
        <v>4000</v>
      </c>
    </row>
    <row r="21" spans="2:12" ht="24" customHeight="1">
      <c r="J21" s="100">
        <v>50693</v>
      </c>
      <c r="K21" s="101" t="s">
        <v>49</v>
      </c>
      <c r="L21" s="100">
        <v>3</v>
      </c>
    </row>
    <row r="22" spans="2:12" ht="24" customHeight="1">
      <c r="J22" s="100">
        <v>90737</v>
      </c>
      <c r="K22" s="101" t="s">
        <v>50</v>
      </c>
      <c r="L22" s="100">
        <v>1</v>
      </c>
    </row>
    <row r="23" spans="2:12" ht="24" customHeight="1">
      <c r="J23" s="102">
        <v>20236</v>
      </c>
      <c r="K23" s="101" t="s">
        <v>51</v>
      </c>
      <c r="L23" s="100">
        <v>2</v>
      </c>
    </row>
    <row r="24" spans="2:12" ht="24" customHeight="1">
      <c r="J24" s="102">
        <v>26481</v>
      </c>
      <c r="K24" s="101" t="s">
        <v>52</v>
      </c>
      <c r="L24" s="100">
        <v>7</v>
      </c>
    </row>
    <row r="25" spans="2:12" ht="24" customHeight="1">
      <c r="J25" s="100">
        <v>78571</v>
      </c>
      <c r="K25" s="101" t="s">
        <v>53</v>
      </c>
      <c r="L25" s="100">
        <v>3</v>
      </c>
    </row>
    <row r="26" spans="2:12" ht="24" customHeight="1">
      <c r="J26" s="103">
        <v>12262</v>
      </c>
      <c r="K26" s="104" t="s">
        <v>54</v>
      </c>
      <c r="L26" s="103">
        <v>50</v>
      </c>
    </row>
    <row r="27" spans="2:12" ht="24" customHeight="1">
      <c r="J27" s="123" t="s">
        <v>56</v>
      </c>
      <c r="K27" s="123"/>
      <c r="L27" s="123"/>
    </row>
  </sheetData>
  <autoFilter ref="J4:L4" xr:uid="{8483FCF4-BDC9-4F9F-A715-34AB47830752}"/>
  <mergeCells count="3">
    <mergeCell ref="J3:L3"/>
    <mergeCell ref="J2:L2"/>
    <mergeCell ref="J27:L27"/>
  </mergeCells>
  <conditionalFormatting sqref="B5:H5 J5:K5">
    <cfRule type="expression" dxfId="425" priority="441">
      <formula>$H5="Sim"</formula>
    </cfRule>
    <cfRule type="expression" dxfId="424" priority="442">
      <formula>$B5=1</formula>
    </cfRule>
  </conditionalFormatting>
  <conditionalFormatting sqref="J6:K7 B18:H18 B7:H15 L16:L17 L5:L8">
    <cfRule type="expression" dxfId="423" priority="15">
      <formula>#REF!="Sim"</formula>
    </cfRule>
    <cfRule type="expression" dxfId="422" priority="16">
      <formula>#REF!=1</formula>
    </cfRule>
  </conditionalFormatting>
  <conditionalFormatting sqref="K8 J9:L9 B16:H16">
    <cfRule type="expression" dxfId="421" priority="27">
      <formula>#REF!="Sim"</formula>
    </cfRule>
    <cfRule type="expression" dxfId="420" priority="28">
      <formula>#REF!=1</formula>
    </cfRule>
  </conditionalFormatting>
  <conditionalFormatting sqref="J10:K17">
    <cfRule type="expression" dxfId="419" priority="23">
      <formula>#REF!="Sim"</formula>
    </cfRule>
    <cfRule type="expression" dxfId="418" priority="24">
      <formula>#REF!=1</formula>
    </cfRule>
  </conditionalFormatting>
  <conditionalFormatting sqref="B18:H18">
    <cfRule type="expression" dxfId="417" priority="523">
      <formula>$H21="Sim"</formula>
    </cfRule>
    <cfRule type="expression" dxfId="416" priority="524">
      <formula>$B21=1</formula>
    </cfRule>
  </conditionalFormatting>
  <conditionalFormatting sqref="B6:H7">
    <cfRule type="expression" dxfId="415" priority="530">
      <formula>#REF!="Sim"</formula>
    </cfRule>
    <cfRule type="expression" dxfId="414" priority="531">
      <formula>#REF!=1</formula>
    </cfRule>
  </conditionalFormatting>
  <conditionalFormatting sqref="B7:H7">
    <cfRule type="expression" dxfId="413" priority="630">
      <formula>$H20="Sim"</formula>
    </cfRule>
    <cfRule type="expression" dxfId="412" priority="631">
      <formula>$B20=1</formula>
    </cfRule>
  </conditionalFormatting>
  <conditionalFormatting sqref="B17:H17">
    <cfRule type="expression" dxfId="411" priority="632">
      <formula>$H19="Sim"</formula>
    </cfRule>
    <cfRule type="expression" dxfId="410" priority="633">
      <formula>$B19=1</formula>
    </cfRule>
  </conditionalFormatting>
  <dataValidations count="12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A3EFDF59-873E-4771-984E-65D424DA5176}"/>
    <dataValidation allowBlank="1" showInputMessage="1" showErrorMessage="1" prompt="Insira a ID de estoque do item nesta coluna" sqref="J4" xr:uid="{70D419C9-DB2B-4727-9584-E49EA96A6503}"/>
    <dataValidation allowBlank="1" showInputMessage="1" showErrorMessage="1" prompt="Insira sim se o item tiver sido descontinuado. Ao inserir Sim, a linha correspondente é realçada em cinza claro e o estilo da fonte é alterado para Tachado" sqref="H4" xr:uid="{C0815C60-3ACE-47D8-9C6A-DE63DA77C29D}"/>
    <dataValidation allowBlank="1" showInputMessage="1" showErrorMessage="1" prompt="Insira a quantidade a encomendar de cada item nesta coluna" sqref="G4" xr:uid="{F12A12FB-CE54-4F3E-9858-0CA18590F138}"/>
    <dataValidation allowBlank="1" showInputMessage="1" showErrorMessage="1" prompt="Insira quantos dias faltam para realizar nova encomenda de cada item nesta coluna" sqref="F4" xr:uid="{D46A7554-0715-4AD2-90E1-8E3D9A46EAFA}"/>
    <dataValidation allowBlank="1" showInputMessage="1" showErrorMessage="1" prompt="Insira o nível de estoque de cada item nesta coluna" sqref="E4" xr:uid="{39712B5B-0531-4DC5-AB1E-81AA77C0DA6A}"/>
    <dataValidation allowBlank="1" showInputMessage="1" showErrorMessage="1" prompt="Insira a quantidade em estoque de cada item nesta coluna" sqref="L4" xr:uid="{F9274B49-56EB-44CC-B624-B623E3C8B4CD}"/>
    <dataValidation allowBlank="1" showInputMessage="1" showErrorMessage="1" prompt="Insira uma descrição do item nesta coluna" sqref="K4:K5" xr:uid="{3578AAFA-ED63-4F08-8E6E-48C1EB6A5CCE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20AD9946-721B-4F0E-816F-3F9193C76317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E9CECDE6-4F4C-401B-B453-8ECB0EE048C1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H3" xr:uid="{DC07A291-3F36-44AF-BCF8-6C6C17B5F308}">
      <formula1>"Sim, Não"</formula1>
    </dataValidation>
    <dataValidation type="list" allowBlank="1" showInputMessage="1" showErrorMessage="1" sqref="H5:H18" xr:uid="{AF2DC67A-BC40-4715-B930-9C43F174235B}">
      <formula1>"Sim"</formula1>
    </dataValidation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32" id="{35CC7DCD-E43D-4087-A71D-CB6A351A32D2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B5:D18</xm:sqref>
        </x14:conditionalFormatting>
        <x14:conditionalFormatting xmlns:xm="http://schemas.microsoft.com/office/excel/2006/main">
          <x14:cfRule type="expression" priority="9" id="{1CDEA775-B831-404E-A2EF-3D505808EE62}">
            <xm:f>'Kit Drywall Emplacamento 2°-T'!#REF!="Sim"</xm:f>
            <x14:dxf>
              <font>
                <strike/>
                <color theme="1" tint="0.34998626667073579"/>
              </font>
            </x14:dxf>
          </x14:cfRule>
          <x14:cfRule type="expression" priority="10" id="{DB949323-2228-4385-A2DA-B22CFD08D3E3}">
            <xm:f>'Kit Drywall Emplacamento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J7:K7</xm:sqref>
        </x14:conditionalFormatting>
        <x14:conditionalFormatting xmlns:xm="http://schemas.microsoft.com/office/excel/2006/main">
          <x14:cfRule type="expression" priority="7" id="{D3C13D77-EFF7-4AC4-A838-86A6C15A55E9}">
            <xm:f>'Kit Drywall Emplacamento 2°-T'!#REF!="Sim"</xm:f>
            <x14:dxf>
              <font>
                <strike/>
                <color theme="1" tint="0.34998626667073579"/>
              </font>
            </x14:dxf>
          </x14:cfRule>
          <x14:cfRule type="expression" priority="8" id="{DC83AD27-34A1-401F-9083-A449599435BD}">
            <xm:f>'Kit Drywall Emplacamento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J7:K7</xm:sqref>
        </x14:conditionalFormatting>
        <x14:conditionalFormatting xmlns:xm="http://schemas.microsoft.com/office/excel/2006/main">
          <x14:cfRule type="expression" priority="3" id="{D3C8953B-B1B4-4342-9A79-82766201B406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4" id="{6F7C8B46-36CB-4A05-8B86-FDE50851A9CC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J18:L21 K22:L26</xm:sqref>
        </x14:conditionalFormatting>
        <x14:conditionalFormatting xmlns:xm="http://schemas.microsoft.com/office/excel/2006/main">
          <x14:cfRule type="expression" priority="1" id="{590E05B2-17AC-46D6-A71F-73EDBF66D6F1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2" id="{FEDB4890-BB58-420D-9F9A-AEF0CA74FC24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J22:J26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A826-8238-48FE-B16C-D194B6EA9AF6}">
  <sheetPr>
    <pageSetUpPr fitToPage="1"/>
  </sheetPr>
  <dimension ref="B1:L30"/>
  <sheetViews>
    <sheetView showGridLines="0" topLeftCell="A3" zoomScale="85" zoomScaleNormal="85" workbookViewId="0">
      <selection activeCell="E6" sqref="E6:F20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1.109375" style="6" customWidth="1"/>
    <col min="6" max="6" width="59.21875" style="6" customWidth="1"/>
    <col min="7" max="7" width="18.886718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33</v>
      </c>
    </row>
    <row r="2" spans="2:12" s="1" customFormat="1" ht="48.75" customHeight="1">
      <c r="B2" s="2"/>
      <c r="C2" s="2"/>
      <c r="D2" s="2"/>
      <c r="E2" s="116" t="s">
        <v>57</v>
      </c>
      <c r="F2" s="116"/>
      <c r="G2" s="116"/>
      <c r="H2" s="116"/>
      <c r="I2" s="7"/>
    </row>
    <row r="3" spans="2:12" ht="41.25" customHeight="1">
      <c r="E3" s="117" t="s">
        <v>58</v>
      </c>
      <c r="F3" s="117"/>
      <c r="G3" s="117"/>
      <c r="H3" s="11"/>
      <c r="I3" s="11"/>
      <c r="J3" s="12"/>
      <c r="K3" s="13"/>
    </row>
    <row r="4" spans="2:12" s="3" customFormat="1" ht="22.5" customHeight="1">
      <c r="B4" s="9" t="s">
        <v>2</v>
      </c>
      <c r="C4" s="9" t="s">
        <v>3</v>
      </c>
      <c r="D4" s="9" t="s">
        <v>4</v>
      </c>
      <c r="E4" s="29" t="s">
        <v>5</v>
      </c>
      <c r="F4" s="29" t="s">
        <v>6</v>
      </c>
      <c r="G4" s="29" t="s">
        <v>7</v>
      </c>
      <c r="H4" s="9" t="s">
        <v>36</v>
      </c>
      <c r="I4" s="9" t="s">
        <v>37</v>
      </c>
      <c r="J4" s="9" t="s">
        <v>38</v>
      </c>
      <c r="K4" s="9" t="s">
        <v>39</v>
      </c>
    </row>
    <row r="5" spans="2:12" ht="19.5">
      <c r="B5" s="3">
        <f>IFERROR((#REF!&lt;=#REF!)*(#REF!="")*RealceValor,0)</f>
        <v>0</v>
      </c>
      <c r="E5" s="31"/>
      <c r="F5" s="70" t="s">
        <v>59</v>
      </c>
      <c r="G5" s="28"/>
    </row>
    <row r="6" spans="2:12" ht="20.25" customHeight="1">
      <c r="B6" s="3">
        <f>IFERROR((#REF!&lt;=#REF!)*(#REF!="")*RealceValor,0)</f>
        <v>0</v>
      </c>
      <c r="E6" s="31">
        <v>90609</v>
      </c>
      <c r="F6" s="27" t="s">
        <v>18</v>
      </c>
      <c r="G6" s="28">
        <v>100</v>
      </c>
    </row>
    <row r="7" spans="2:12" ht="20.25" customHeight="1">
      <c r="B7" s="3">
        <f>IFERROR((#REF!&lt;=#REF!)*(#REF!="")*RealceValor,0)</f>
        <v>0</v>
      </c>
      <c r="E7" s="31">
        <v>91458</v>
      </c>
      <c r="F7" s="27" t="s">
        <v>19</v>
      </c>
      <c r="G7" s="28">
        <v>80</v>
      </c>
    </row>
    <row r="8" spans="2:12" ht="20.25" customHeight="1">
      <c r="B8" s="50">
        <f>IFERROR((#REF!&lt;=#REF!)*(#REF!="")*RealceValor,0)</f>
        <v>0</v>
      </c>
      <c r="E8" s="55">
        <v>90607</v>
      </c>
      <c r="F8" s="57" t="s">
        <v>20</v>
      </c>
      <c r="G8" s="52">
        <v>50</v>
      </c>
      <c r="H8" s="53"/>
      <c r="I8" s="53"/>
      <c r="J8" s="53"/>
      <c r="K8" s="54"/>
    </row>
    <row r="9" spans="2:12" ht="20.25" customHeight="1">
      <c r="B9" s="3">
        <f>IFERROR((#REF!&lt;=#REF!)*(#REF!="")*RealceValor,0)</f>
        <v>0</v>
      </c>
      <c r="E9" s="31">
        <v>14823</v>
      </c>
      <c r="F9" s="27" t="s">
        <v>12</v>
      </c>
      <c r="G9" s="28">
        <v>250</v>
      </c>
    </row>
    <row r="10" spans="2:12" ht="20.25" customHeight="1">
      <c r="B10" s="3">
        <f>IFERROR((#REF!&lt;=#REF!)*(#REF!="")*RealceValor,0)</f>
        <v>0</v>
      </c>
      <c r="E10" s="31">
        <v>95860</v>
      </c>
      <c r="F10" s="27" t="s">
        <v>21</v>
      </c>
      <c r="G10" s="28">
        <v>170</v>
      </c>
    </row>
    <row r="11" spans="2:12" ht="20.25" customHeight="1">
      <c r="B11" s="3">
        <f>IFERROR((#REF!&lt;=#REF!)*(#REF!="")*RealceValor,0)</f>
        <v>0</v>
      </c>
      <c r="E11" s="31">
        <v>72755</v>
      </c>
      <c r="F11" s="27" t="s">
        <v>22</v>
      </c>
      <c r="G11" s="28">
        <v>215</v>
      </c>
    </row>
    <row r="12" spans="2:12" ht="20.25" customHeight="1">
      <c r="B12" s="3">
        <f>IFERROR((#REF!&lt;=#REF!)*(#REF!="")*RealceValor,0)</f>
        <v>0</v>
      </c>
      <c r="E12" s="31">
        <v>90608</v>
      </c>
      <c r="F12" s="27" t="s">
        <v>23</v>
      </c>
      <c r="G12" s="28">
        <v>400</v>
      </c>
    </row>
    <row r="13" spans="2:12" ht="20.25" customHeight="1">
      <c r="B13" s="3">
        <f>IFERROR((#REF!&lt;=#REF!)*(#REF!="")*RealceValor,0)</f>
        <v>0</v>
      </c>
      <c r="E13" s="31">
        <v>97790</v>
      </c>
      <c r="F13" s="27" t="s">
        <v>24</v>
      </c>
      <c r="G13" s="28" t="s">
        <v>25</v>
      </c>
    </row>
    <row r="14" spans="2:12" ht="20.25" customHeight="1">
      <c r="B14" s="3">
        <f>IFERROR((#REF!&lt;=#REF!)*(#REF!="")*RealceValor,0)</f>
        <v>0</v>
      </c>
      <c r="E14" s="31" t="s">
        <v>26</v>
      </c>
      <c r="F14" s="27" t="s">
        <v>27</v>
      </c>
      <c r="G14" s="28">
        <v>4</v>
      </c>
    </row>
    <row r="15" spans="2:12" ht="20.25" customHeight="1">
      <c r="B15" s="3">
        <f>IFERROR((#REF!&lt;=#REF!)*(#REF!="")*RealceValor,0)</f>
        <v>0</v>
      </c>
      <c r="E15" s="15">
        <v>99160</v>
      </c>
      <c r="F15" s="57" t="s">
        <v>16</v>
      </c>
      <c r="G15" s="28">
        <v>1</v>
      </c>
    </row>
    <row r="16" spans="2:12" ht="20.25" customHeight="1">
      <c r="B16" s="3">
        <f>IFERROR((#REF!&lt;=#REF!)*(#REF!="")*RealceValor,0)</f>
        <v>0</v>
      </c>
      <c r="E16" s="15" t="s">
        <v>28</v>
      </c>
      <c r="F16" s="27" t="s">
        <v>29</v>
      </c>
      <c r="G16" s="34" t="s">
        <v>30</v>
      </c>
    </row>
    <row r="17" spans="2:11" ht="20.25" customHeight="1">
      <c r="B17" s="3">
        <f>IFERROR((#REF!&lt;=#REF!)*(#REF!="")*RealceValor,0)</f>
        <v>0</v>
      </c>
      <c r="E17" s="15">
        <v>99155</v>
      </c>
      <c r="F17" s="57" t="s">
        <v>17</v>
      </c>
      <c r="G17" s="35">
        <v>2</v>
      </c>
    </row>
    <row r="18" spans="2:11" ht="20.25" customHeight="1">
      <c r="B18" s="50">
        <f>IFERROR((#REF!&lt;=#REF!)*(#REF!="")*RealceValor,0)</f>
        <v>0</v>
      </c>
      <c r="E18" s="56">
        <v>23922</v>
      </c>
      <c r="F18" s="51" t="s">
        <v>9</v>
      </c>
      <c r="G18" s="52">
        <v>40</v>
      </c>
      <c r="H18" s="53"/>
      <c r="I18" s="53"/>
      <c r="J18" s="53"/>
      <c r="K18" s="54"/>
    </row>
    <row r="19" spans="2:11" ht="20.25" customHeight="1">
      <c r="B19" s="50">
        <f>IFERROR((#REF!&lt;=#REF!)*(#REF!="")*RealceValor,0)</f>
        <v>0</v>
      </c>
      <c r="E19" s="56">
        <v>27139</v>
      </c>
      <c r="F19" s="51" t="s">
        <v>31</v>
      </c>
      <c r="G19" s="52">
        <v>150</v>
      </c>
      <c r="H19" s="53"/>
      <c r="I19" s="53"/>
      <c r="J19" s="53"/>
      <c r="K19" s="54"/>
    </row>
    <row r="20" spans="2:11" ht="20.25" customHeight="1">
      <c r="B20" s="50">
        <f>IFERROR((#REF!&lt;=#REF!)*(#REF!="")*RealceValor,0)</f>
        <v>0</v>
      </c>
      <c r="E20" s="56">
        <v>65025</v>
      </c>
      <c r="F20" s="51" t="s">
        <v>32</v>
      </c>
      <c r="G20" s="58">
        <v>150</v>
      </c>
      <c r="H20" s="53"/>
      <c r="I20" s="53"/>
      <c r="J20" s="53"/>
      <c r="K20" s="54"/>
    </row>
    <row r="21" spans="2:11" ht="20.25" customHeight="1">
      <c r="B21" s="50">
        <f>IFERROR((#REF!&lt;=#REF!)*(#REF!="")*RealceValor,0)</f>
        <v>0</v>
      </c>
      <c r="E21" s="55">
        <v>53679</v>
      </c>
      <c r="F21" s="57" t="s">
        <v>45</v>
      </c>
      <c r="G21" s="52">
        <v>55</v>
      </c>
      <c r="H21" s="53"/>
      <c r="I21" s="53"/>
      <c r="J21" s="53"/>
      <c r="K21" s="54"/>
    </row>
    <row r="22" spans="2:11" ht="20.25" customHeight="1">
      <c r="B22" s="50">
        <f>IFERROR((#REF!&lt;=#REF!)*(#REF!="")*RealceValor,0)</f>
        <v>0</v>
      </c>
      <c r="E22" s="55">
        <v>53678</v>
      </c>
      <c r="F22" s="57" t="s">
        <v>55</v>
      </c>
      <c r="G22" s="52">
        <v>22</v>
      </c>
      <c r="H22" s="53"/>
      <c r="I22" s="53"/>
      <c r="J22" s="53"/>
      <c r="K22" s="54"/>
    </row>
    <row r="23" spans="2:11" ht="20.25" customHeight="1">
      <c r="B23" s="50">
        <f>IFERROR((#REF!&lt;=#REF!)*(#REF!="")*RealceValor,0)</f>
        <v>0</v>
      </c>
      <c r="E23" s="55">
        <v>14390</v>
      </c>
      <c r="F23" s="57" t="s">
        <v>47</v>
      </c>
      <c r="G23" s="52">
        <v>4000</v>
      </c>
      <c r="H23" s="53"/>
      <c r="I23" s="53"/>
      <c r="J23" s="53"/>
      <c r="K23" s="54"/>
    </row>
    <row r="24" spans="2:11" ht="20.25" customHeight="1">
      <c r="B24" s="50">
        <f>IFERROR((#REF!&lt;=#REF!)*(#REF!="")*RealceValor,0)</f>
        <v>0</v>
      </c>
      <c r="E24" s="55">
        <v>50693</v>
      </c>
      <c r="F24" s="57" t="s">
        <v>49</v>
      </c>
      <c r="G24" s="52">
        <v>3</v>
      </c>
      <c r="H24" s="53"/>
      <c r="I24" s="53"/>
      <c r="J24" s="53"/>
      <c r="K24" s="54"/>
    </row>
    <row r="25" spans="2:11" ht="20.25" customHeight="1">
      <c r="B25" s="50">
        <f>IFERROR((#REF!&lt;=#REF!)*(#REF!="")*RealceValor,0)</f>
        <v>0</v>
      </c>
      <c r="E25" s="55">
        <v>90737</v>
      </c>
      <c r="F25" s="57" t="s">
        <v>50</v>
      </c>
      <c r="G25" s="52">
        <v>1</v>
      </c>
      <c r="H25" s="53"/>
      <c r="I25" s="53"/>
      <c r="J25" s="53"/>
      <c r="K25" s="54"/>
    </row>
    <row r="26" spans="2:11" ht="20.25" customHeight="1">
      <c r="B26" s="50">
        <f>IFERROR((#REF!&lt;=#REF!)*(#REF!="")*RealceValor,0)</f>
        <v>0</v>
      </c>
      <c r="E26" s="56">
        <v>20236</v>
      </c>
      <c r="F26" s="57" t="s">
        <v>51</v>
      </c>
      <c r="G26" s="52">
        <v>2</v>
      </c>
      <c r="H26" s="53"/>
      <c r="I26" s="53"/>
      <c r="J26" s="53"/>
      <c r="K26" s="54"/>
    </row>
    <row r="27" spans="2:11" ht="20.25" customHeight="1">
      <c r="B27" s="50">
        <f>IFERROR((#REF!&lt;=#REF!)*(#REF!="")*RealceValor,0)</f>
        <v>0</v>
      </c>
      <c r="E27" s="56">
        <v>26481</v>
      </c>
      <c r="F27" s="57" t="s">
        <v>52</v>
      </c>
      <c r="G27" s="52">
        <v>7</v>
      </c>
      <c r="H27" s="53"/>
      <c r="I27" s="53"/>
      <c r="J27" s="53"/>
      <c r="K27" s="54"/>
    </row>
    <row r="28" spans="2:11" ht="20.25" customHeight="1">
      <c r="B28" s="50">
        <f>IFERROR((#REF!&lt;=#REF!)*(#REF!="")*RealceValor,0)</f>
        <v>0</v>
      </c>
      <c r="E28" s="55">
        <v>78571</v>
      </c>
      <c r="F28" s="57" t="s">
        <v>53</v>
      </c>
      <c r="G28" s="52">
        <v>3</v>
      </c>
      <c r="H28" s="53"/>
      <c r="I28" s="53"/>
      <c r="J28" s="53"/>
      <c r="K28" s="54"/>
    </row>
    <row r="29" spans="2:11" ht="20.25" customHeight="1">
      <c r="B29" s="50">
        <f>IFERROR((#REF!&lt;=#REF!)*(#REF!="")*RealceValor,0)</f>
        <v>0</v>
      </c>
      <c r="E29" s="56">
        <v>12262</v>
      </c>
      <c r="F29" s="51" t="s">
        <v>54</v>
      </c>
      <c r="G29" s="58">
        <v>50</v>
      </c>
      <c r="H29" s="53"/>
      <c r="I29" s="53"/>
      <c r="J29" s="53"/>
      <c r="K29" s="54"/>
    </row>
    <row r="30" spans="2:11" ht="24" customHeight="1">
      <c r="E30" s="118" t="s">
        <v>60</v>
      </c>
      <c r="F30" s="118"/>
      <c r="G30" s="118"/>
    </row>
  </sheetData>
  <mergeCells count="3">
    <mergeCell ref="E2:H2"/>
    <mergeCell ref="E3:G3"/>
    <mergeCell ref="E30:G30"/>
  </mergeCells>
  <conditionalFormatting sqref="B5:D14 B15:E16 E17 B17:D29 H5:K29">
    <cfRule type="expression" dxfId="385" priority="19">
      <formula>$K5="Sim"</formula>
    </cfRule>
    <cfRule type="expression" dxfId="384" priority="20">
      <formula>$B5=1</formula>
    </cfRule>
  </conditionalFormatting>
  <conditionalFormatting sqref="E21:G24 G16 E5:G15 F25:G29 F17:G20">
    <cfRule type="expression" dxfId="383" priority="11">
      <formula>#REF!="Sim"</formula>
    </cfRule>
    <cfRule type="expression" dxfId="382" priority="12">
      <formula>#REF!=1</formula>
    </cfRule>
  </conditionalFormatting>
  <conditionalFormatting sqref="F5 E6:E14">
    <cfRule type="expression" dxfId="381" priority="9">
      <formula>#REF!="Sim"</formula>
    </cfRule>
    <cfRule type="expression" dxfId="380" priority="10">
      <formula>$B5=1</formula>
    </cfRule>
  </conditionalFormatting>
  <conditionalFormatting sqref="F16">
    <cfRule type="expression" dxfId="379" priority="3">
      <formula>#REF!="Sim"</formula>
    </cfRule>
    <cfRule type="expression" dxfId="378" priority="4">
      <formula>#REF!=1</formula>
    </cfRule>
  </conditionalFormatting>
  <dataValidations count="12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B3CF32BF-A2B6-4371-81C7-8219A0DA2791}"/>
    <dataValidation allowBlank="1" showInputMessage="1" showErrorMessage="1" prompt="Insira sim se o item tiver sido descontinuado. Ao inserir Sim, a linha correspondente é realçada em cinza claro e o estilo da fonte é alterado para Tachado" sqref="K4" xr:uid="{29D4E604-7F10-41B1-BC07-3F65CC41F9AB}"/>
    <dataValidation allowBlank="1" showInputMessage="1" showErrorMessage="1" prompt="Insira a quantidade a encomendar de cada item nesta coluna" sqref="J4" xr:uid="{30FD901B-C63F-4CDA-9729-A7A09FE444CF}"/>
    <dataValidation allowBlank="1" showInputMessage="1" showErrorMessage="1" prompt="Insira quantos dias faltam para realizar nova encomenda de cada item nesta coluna" sqref="I4" xr:uid="{834BCC9B-592F-48FE-83F2-06466DC280E8}"/>
    <dataValidation allowBlank="1" showInputMessage="1" showErrorMessage="1" prompt="Insira o nível de estoque de cada item nesta coluna" sqref="H4" xr:uid="{FCF4BD9B-2A64-44F8-9A15-B31E7A6771BE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AF1FA4E9-DBB4-4B1B-9163-B12CB9FA9612}"/>
    <dataValidation allowBlank="1" showInputMessage="1" showErrorMessage="1" prompt="Insira a ID de estoque do item nesta coluna" sqref="E4" xr:uid="{432F6A83-8308-4013-B34F-EE5F2E228DFC}"/>
    <dataValidation allowBlank="1" showInputMessage="1" showErrorMessage="1" prompt="Insira a quantidade em estoque de cada item nesta coluna" sqref="G4" xr:uid="{BC4B8CF6-DB9F-4B80-A955-5D86BDE63237}"/>
    <dataValidation allowBlank="1" showInputMessage="1" showErrorMessage="1" prompt="Insira uma descrição do item nesta coluna" sqref="F4" xr:uid="{6D86A59E-7730-4ABB-8020-DA5FD70D657D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32376D67-595E-4980-9446-1CFB4F4D60CA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0A03375A-427E-4AA9-9559-534E843BD179}">
      <formula1>"Sim, Não"</formula1>
    </dataValidation>
    <dataValidation type="list" allowBlank="1" showInputMessage="1" showErrorMessage="1" sqref="K5:K20" xr:uid="{92F87302-20A7-4FBC-BD56-4CDA869C4A49}">
      <formula1>"Sim"</formula1>
    </dataValidation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41FDDB4D-A9E8-4035-B0B1-5F7414CFE813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8" id="{19D4FE08-F3DE-480F-93C4-75514479E762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E25:E29 E18:E20</xm:sqref>
        </x14:conditionalFormatting>
        <x14:conditionalFormatting xmlns:xm="http://schemas.microsoft.com/office/excel/2006/main">
          <x14:cfRule type="iconSet" priority="657" id="{558E50BE-D6AD-4747-AED5-23008D03A608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E060-5E6B-4B54-9143-C1FF9506F17B}">
  <sheetPr>
    <pageSetUpPr fitToPage="1"/>
  </sheetPr>
  <dimension ref="A1:N26"/>
  <sheetViews>
    <sheetView showGridLines="0" topLeftCell="A2" zoomScale="85" zoomScaleNormal="85" workbookViewId="0">
      <selection activeCell="E26" sqref="E26:G26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9.6640625" style="6" customWidth="1"/>
    <col min="6" max="6" width="61.6640625" style="6" customWidth="1"/>
    <col min="7" max="7" width="18.1093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1:14" s="1" customFormat="1" ht="90.75" customHeight="1">
      <c r="B1" s="2"/>
      <c r="C1" s="2"/>
      <c r="D1" s="2"/>
      <c r="E1" s="124" t="s">
        <v>61</v>
      </c>
      <c r="F1" s="124"/>
      <c r="G1" s="124"/>
      <c r="H1" s="124"/>
      <c r="I1" s="7"/>
      <c r="N1" s="43"/>
    </row>
    <row r="2" spans="1:14" s="3" customFormat="1" ht="40.5" customHeight="1">
      <c r="B2" s="9" t="s">
        <v>2</v>
      </c>
      <c r="C2" s="9" t="s">
        <v>3</v>
      </c>
      <c r="D2" s="9" t="s">
        <v>4</v>
      </c>
      <c r="E2" s="29" t="s">
        <v>62</v>
      </c>
      <c r="F2" s="29" t="s">
        <v>6</v>
      </c>
      <c r="G2" s="29" t="s">
        <v>7</v>
      </c>
      <c r="H2" s="9" t="s">
        <v>36</v>
      </c>
      <c r="I2" s="9" t="s">
        <v>37</v>
      </c>
      <c r="J2" s="9" t="s">
        <v>38</v>
      </c>
      <c r="K2" s="9" t="s">
        <v>39</v>
      </c>
    </row>
    <row r="3" spans="1:14" s="3" customFormat="1" ht="24.75" customHeight="1">
      <c r="A3" s="4"/>
      <c r="B3" s="3">
        <f>IFERROR((Inventory_List_Table6[[#This Row],[Quantidade]]&lt;=Inventory_List_Table6[[#This Row],[Dimensão]])*(Inventory_List_Table6[[#This Row],[Tem Estoque?]]="")*RealceValor,0)</f>
        <v>0</v>
      </c>
      <c r="E3" s="31"/>
      <c r="F3" s="30" t="s">
        <v>8</v>
      </c>
      <c r="G3" s="28"/>
      <c r="H3" s="8"/>
      <c r="I3" s="44"/>
      <c r="J3" s="8"/>
      <c r="K3" s="6"/>
      <c r="L3" s="4"/>
      <c r="M3" s="4"/>
      <c r="N3" s="4"/>
    </row>
    <row r="4" spans="1:14" ht="24" customHeight="1">
      <c r="B4" s="3">
        <f>IFERROR((Inventory_List_Table6[[#This Row],[Quantidade]]&lt;=Inventory_List_Table6[[#This Row],[Dimensão]])*(Inventory_List_Table6[[#This Row],[Tem Estoque?]]="")*RealceValor,0)</f>
        <v>0</v>
      </c>
      <c r="E4" s="21">
        <v>23922</v>
      </c>
      <c r="F4" s="22" t="s">
        <v>9</v>
      </c>
      <c r="G4" s="28">
        <v>165</v>
      </c>
      <c r="H4" s="8">
        <v>29</v>
      </c>
      <c r="J4" s="8">
        <v>50</v>
      </c>
    </row>
    <row r="5" spans="1:14" ht="24" customHeight="1">
      <c r="B5" s="3">
        <f>IFERROR((Inventory_List_Table6[[#This Row],[Quantidade]]&lt;=Inventory_List_Table6[[#This Row],[Dimensão]])*(Inventory_List_Table6[[#This Row],[Tem Estoque?]]="")*RealceValor,0)</f>
        <v>0</v>
      </c>
      <c r="E5" s="21">
        <v>39371</v>
      </c>
      <c r="F5" s="22" t="s">
        <v>10</v>
      </c>
      <c r="G5" s="28">
        <v>385</v>
      </c>
      <c r="H5" s="8">
        <v>158</v>
      </c>
      <c r="J5" s="8">
        <v>50</v>
      </c>
    </row>
    <row r="6" spans="1:14" ht="24" customHeight="1">
      <c r="B6" s="3">
        <f>IFERROR((Inventory_List_Table6[[#This Row],[Quantidade]]&lt;=Inventory_List_Table6[[#This Row],[Dimensão]])*(Inventory_List_Table6[[#This Row],[Tem Estoque?]]="")*RealceValor,0)</f>
        <v>0</v>
      </c>
      <c r="E6" s="21">
        <v>49777</v>
      </c>
      <c r="F6" s="22" t="s">
        <v>11</v>
      </c>
      <c r="G6" s="28">
        <v>60</v>
      </c>
      <c r="H6" s="8">
        <v>39</v>
      </c>
      <c r="J6" s="8">
        <v>50</v>
      </c>
    </row>
    <row r="7" spans="1:14" ht="24" customHeight="1">
      <c r="B7" s="3">
        <f>IFERROR((Inventory_List_Table6[[#This Row],[Quantidade]]&lt;=Inventory_List_Table6[[#This Row],[Dimensão]])*(Inventory_List_Table6[[#This Row],[Tem Estoque?]]="")*RealceValor,0)</f>
        <v>0</v>
      </c>
      <c r="E7" s="21">
        <v>14823</v>
      </c>
      <c r="F7" s="22" t="s">
        <v>12</v>
      </c>
      <c r="G7" s="28">
        <v>2000</v>
      </c>
      <c r="H7" s="8">
        <v>9</v>
      </c>
      <c r="J7" s="8">
        <v>150</v>
      </c>
    </row>
    <row r="8" spans="1:14" ht="24" customHeight="1">
      <c r="B8" s="3">
        <f>IFERROR((Inventory_List_Table6[[#This Row],[Quantidade]]&lt;=Inventory_List_Table6[[#This Row],[Dimensão]])*(Inventory_List_Table6[[#This Row],[Tem Estoque?]]="")*RealceValor,0)</f>
        <v>0</v>
      </c>
      <c r="E8" s="23">
        <v>50069</v>
      </c>
      <c r="F8" s="22" t="s">
        <v>13</v>
      </c>
      <c r="G8" s="28">
        <v>6</v>
      </c>
      <c r="H8" s="8">
        <v>109</v>
      </c>
      <c r="J8" s="8">
        <v>100</v>
      </c>
    </row>
    <row r="9" spans="1:14" ht="24" customHeight="1">
      <c r="B9" s="3">
        <f>IFERROR((Inventory_List_Table6[[#This Row],[Quantidade]]&lt;=Inventory_List_Table6[[#This Row],[Dimensão]])*(Inventory_List_Table6[[#This Row],[Tem Estoque?]]="")*RealceValor,0)</f>
        <v>0</v>
      </c>
      <c r="E9" s="49">
        <v>99163</v>
      </c>
      <c r="F9" s="37" t="s">
        <v>14</v>
      </c>
      <c r="G9" s="28">
        <v>8</v>
      </c>
      <c r="H9" s="8">
        <v>162</v>
      </c>
      <c r="J9" s="8">
        <v>100</v>
      </c>
    </row>
    <row r="10" spans="1:14" ht="24" customHeight="1">
      <c r="B10" s="3">
        <f>IFERROR((Inventory_List_Table6[[#This Row],[Quantidade]]&lt;=Inventory_List_Table6[[#This Row],[Dimensão]])*(Inventory_List_Table6[[#This Row],[Tem Estoque?]]="")*RealceValor,0)</f>
        <v>0</v>
      </c>
      <c r="E10" s="21">
        <v>99159</v>
      </c>
      <c r="F10" s="24" t="s">
        <v>15</v>
      </c>
      <c r="G10" s="28">
        <v>1</v>
      </c>
      <c r="H10" s="8">
        <v>82</v>
      </c>
      <c r="J10" s="8">
        <v>150</v>
      </c>
    </row>
    <row r="11" spans="1:14" ht="24" customHeight="1">
      <c r="B11" s="3">
        <f>IFERROR((Inventory_List_Table6[[#This Row],[Quantidade]]&lt;=Inventory_List_Table6[[#This Row],[Dimensão]])*(Inventory_List_Table6[[#This Row],[Tem Estoque?]]="")*RealceValor,0)</f>
        <v>0</v>
      </c>
      <c r="E11" s="21">
        <v>99160</v>
      </c>
      <c r="F11" s="24" t="s">
        <v>16</v>
      </c>
      <c r="G11" s="28">
        <v>1</v>
      </c>
      <c r="H11" s="8">
        <v>283</v>
      </c>
      <c r="J11" s="8">
        <v>150</v>
      </c>
    </row>
    <row r="12" spans="1:14" ht="24" customHeight="1">
      <c r="B12" s="3">
        <f>IFERROR((Inventory_List_Table6[[#This Row],[Quantidade]]&lt;=Inventory_List_Table6[[#This Row],[Dimensão]])*(Inventory_List_Table6[[#This Row],[Tem Estoque?]]="")*RealceValor,0)</f>
        <v>0</v>
      </c>
      <c r="E12" s="21">
        <v>99155</v>
      </c>
      <c r="F12" s="25" t="s">
        <v>17</v>
      </c>
      <c r="G12" s="28">
        <v>3</v>
      </c>
      <c r="H12" s="8">
        <v>229</v>
      </c>
      <c r="J12" s="8">
        <v>100</v>
      </c>
    </row>
    <row r="13" spans="1:14" ht="24" customHeight="1">
      <c r="B13" s="3">
        <f>IFERROR((Inventory_List_Table6[[#This Row],[Quantidade]]&lt;=Inventory_List_Table6[[#This Row],[Dimensão]])*(Inventory_List_Table6[[#This Row],[Tem Estoque?]]="")*RealceValor,0)</f>
        <v>0</v>
      </c>
      <c r="E13" s="105">
        <v>90609</v>
      </c>
      <c r="F13" s="106" t="s">
        <v>18</v>
      </c>
      <c r="G13" s="107">
        <v>90</v>
      </c>
    </row>
    <row r="14" spans="1:14" ht="24" customHeight="1">
      <c r="B14" s="50">
        <f>IFERROR((Inventory_List_Table6[[#This Row],[Quantidade]]&lt;=Inventory_List_Table6[[#This Row],[Dimensão]])*(Inventory_List_Table6[[#This Row],[Tem Estoque?]]="")*RealceValor,0)</f>
        <v>0</v>
      </c>
      <c r="E14" s="105">
        <v>91458</v>
      </c>
      <c r="F14" s="106" t="s">
        <v>19</v>
      </c>
      <c r="G14" s="107">
        <v>50</v>
      </c>
      <c r="H14" s="53"/>
      <c r="I14" s="53"/>
      <c r="J14" s="53"/>
      <c r="K14" s="54"/>
    </row>
    <row r="15" spans="1:14" ht="24" customHeight="1">
      <c r="B15" s="50">
        <f>IFERROR((Inventory_List_Table6[[#This Row],[Quantidade]]&lt;=Inventory_List_Table6[[#This Row],[Dimensão]])*(Inventory_List_Table6[[#This Row],[Tem Estoque?]]="")*RealceValor,0)</f>
        <v>0</v>
      </c>
      <c r="E15" s="105">
        <v>14823</v>
      </c>
      <c r="F15" s="106" t="s">
        <v>12</v>
      </c>
      <c r="G15" s="107">
        <v>500</v>
      </c>
      <c r="H15" s="53"/>
      <c r="I15" s="53"/>
      <c r="J15" s="53"/>
      <c r="K15" s="54"/>
    </row>
    <row r="16" spans="1:14" ht="24" customHeight="1">
      <c r="B16" s="50">
        <f>IFERROR((Inventory_List_Table6[[#This Row],[Quantidade]]&lt;=Inventory_List_Table6[[#This Row],[Dimensão]])*(Inventory_List_Table6[[#This Row],[Tem Estoque?]]="")*RealceValor,0)</f>
        <v>0</v>
      </c>
      <c r="E16" s="105">
        <v>95860</v>
      </c>
      <c r="F16" s="106" t="s">
        <v>21</v>
      </c>
      <c r="G16" s="107">
        <v>300</v>
      </c>
      <c r="H16" s="53"/>
      <c r="I16" s="53"/>
      <c r="J16" s="53"/>
      <c r="K16" s="54"/>
    </row>
    <row r="17" spans="2:11" ht="24" customHeight="1">
      <c r="B17" s="50">
        <f>IFERROR((Inventory_List_Table6[[#This Row],[Quantidade]]&lt;=Inventory_List_Table6[[#This Row],[Dimensão]])*(Inventory_List_Table6[[#This Row],[Tem Estoque?]]="")*RealceValor,0)</f>
        <v>0</v>
      </c>
      <c r="E17" s="105">
        <v>72755</v>
      </c>
      <c r="F17" s="106" t="s">
        <v>22</v>
      </c>
      <c r="G17" s="107">
        <v>15</v>
      </c>
      <c r="H17" s="53"/>
      <c r="I17" s="53"/>
      <c r="J17" s="53"/>
      <c r="K17" s="54"/>
    </row>
    <row r="18" spans="2:11" ht="24" customHeight="1">
      <c r="B18" s="50">
        <f>IFERROR((Inventory_List_Table6[[#This Row],[Quantidade]]&lt;=Inventory_List_Table6[[#This Row],[Dimensão]])*(Inventory_List_Table6[[#This Row],[Tem Estoque?]]="")*RealceValor,0)</f>
        <v>0</v>
      </c>
      <c r="E18" s="105">
        <v>90608</v>
      </c>
      <c r="F18" s="106" t="s">
        <v>23</v>
      </c>
      <c r="G18" s="107">
        <v>300</v>
      </c>
      <c r="H18" s="53"/>
      <c r="I18" s="53"/>
      <c r="J18" s="53"/>
      <c r="K18" s="54"/>
    </row>
    <row r="19" spans="2:11" ht="24" customHeight="1">
      <c r="B19" s="50">
        <f>IFERROR((Inventory_List_Table6[[#This Row],[Quantidade]]&lt;=Inventory_List_Table6[[#This Row],[Dimensão]])*(Inventory_List_Table6[[#This Row],[Tem Estoque?]]="")*RealceValor,0)</f>
        <v>0</v>
      </c>
      <c r="E19" s="105">
        <v>97790</v>
      </c>
      <c r="F19" s="106" t="s">
        <v>24</v>
      </c>
      <c r="G19" s="107">
        <v>3</v>
      </c>
      <c r="H19" s="53"/>
      <c r="I19" s="53"/>
      <c r="J19" s="53"/>
      <c r="K19" s="54"/>
    </row>
    <row r="20" spans="2:11" ht="24" customHeight="1">
      <c r="B20" s="50">
        <f>IFERROR((Inventory_List_Table6[[#This Row],[Quantidade]]&lt;=Inventory_List_Table6[[#This Row],[Dimensão]])*(Inventory_List_Table6[[#This Row],[Tem Estoque?]]="")*RealceValor,0)</f>
        <v>0</v>
      </c>
      <c r="E20" s="100">
        <v>99163</v>
      </c>
      <c r="F20" s="101" t="s">
        <v>27</v>
      </c>
      <c r="G20" s="107">
        <v>4</v>
      </c>
      <c r="H20" s="53"/>
      <c r="I20" s="53"/>
      <c r="J20" s="53"/>
      <c r="K20" s="54"/>
    </row>
    <row r="21" spans="2:11" ht="24" customHeight="1">
      <c r="B21" s="50">
        <f>IFERROR((Inventory_List_Table6[[#This Row],[Quantidade]]&lt;=Inventory_List_Table6[[#This Row],[Dimensão]])*(Inventory_List_Table6[[#This Row],[Tem Estoque?]]="")*RealceValor,0)</f>
        <v>0</v>
      </c>
      <c r="E21" s="105">
        <v>99160</v>
      </c>
      <c r="F21" s="106" t="s">
        <v>16</v>
      </c>
      <c r="G21" s="107">
        <v>1</v>
      </c>
      <c r="H21" s="53"/>
      <c r="I21" s="53"/>
      <c r="J21" s="53"/>
      <c r="K21" s="54"/>
    </row>
    <row r="22" spans="2:11" ht="24" customHeight="1">
      <c r="B22" s="50">
        <f>IFERROR((Inventory_List_Table6[[#This Row],[Quantidade]]&lt;=Inventory_List_Table6[[#This Row],[Dimensão]])*(Inventory_List_Table6[[#This Row],[Tem Estoque?]]="")*RealceValor,0)</f>
        <v>0</v>
      </c>
      <c r="E22" s="108">
        <v>99165</v>
      </c>
      <c r="F22" s="106" t="s">
        <v>29</v>
      </c>
      <c r="G22" s="107">
        <v>5</v>
      </c>
      <c r="H22" s="53"/>
      <c r="I22" s="53"/>
      <c r="J22" s="53"/>
      <c r="K22" s="54"/>
    </row>
    <row r="23" spans="2:11" ht="24" customHeight="1">
      <c r="B23" s="50">
        <f>IFERROR((Inventory_List_Table6[[#This Row],[Quantidade]]&lt;=Inventory_List_Table6[[#This Row],[Dimensão]])*(Inventory_List_Table6[[#This Row],[Tem Estoque?]]="")*RealceValor,0)</f>
        <v>0</v>
      </c>
      <c r="E23" s="109">
        <v>27139</v>
      </c>
      <c r="F23" s="110" t="s">
        <v>31</v>
      </c>
      <c r="G23" s="111">
        <v>250</v>
      </c>
      <c r="H23" s="53"/>
      <c r="I23" s="53"/>
      <c r="J23" s="53"/>
      <c r="K23" s="54"/>
    </row>
    <row r="24" spans="2:11" ht="24" customHeight="1">
      <c r="B24" s="50">
        <f>IFERROR((Inventory_List_Table6[[#This Row],[Quantidade]]&lt;=Inventory_List_Table6[[#This Row],[Dimensão]])*(Inventory_List_Table6[[#This Row],[Tem Estoque?]]="")*RealceValor,0)</f>
        <v>0</v>
      </c>
      <c r="E24" s="109">
        <v>65025</v>
      </c>
      <c r="F24" s="110" t="s">
        <v>32</v>
      </c>
      <c r="G24" s="112">
        <v>250</v>
      </c>
      <c r="H24" s="53"/>
      <c r="I24" s="53"/>
      <c r="J24" s="53"/>
      <c r="K24" s="54"/>
    </row>
    <row r="25" spans="2:11" ht="24" customHeight="1">
      <c r="B25" s="50">
        <f>IFERROR((Inventory_List_Table6[[#This Row],[Quantidade]]&lt;=Inventory_List_Table6[[#This Row],[Dimensão]])*(Inventory_List_Table6[[#This Row],[Tem Estoque?]]="")*RealceValor,0)</f>
        <v>0</v>
      </c>
      <c r="E25" s="105">
        <v>99155</v>
      </c>
      <c r="F25" s="106" t="s">
        <v>17</v>
      </c>
      <c r="G25" s="107">
        <v>2</v>
      </c>
      <c r="H25" s="53"/>
      <c r="I25" s="53"/>
      <c r="J25" s="53"/>
      <c r="K25" s="54"/>
    </row>
    <row r="26" spans="2:11" ht="24" customHeight="1">
      <c r="E26" s="123" t="s">
        <v>63</v>
      </c>
      <c r="F26" s="123"/>
      <c r="G26" s="123"/>
    </row>
  </sheetData>
  <mergeCells count="2">
    <mergeCell ref="E1:H1"/>
    <mergeCell ref="E26:G26"/>
  </mergeCells>
  <conditionalFormatting sqref="B6:D7 F6:K7 B8:K8 B9:D13 H9:K13">
    <cfRule type="expression" dxfId="354" priority="37">
      <formula>$K6="Sim"</formula>
    </cfRule>
    <cfRule type="expression" dxfId="353" priority="38">
      <formula>$B6=1</formula>
    </cfRule>
  </conditionalFormatting>
  <conditionalFormatting sqref="B3:K3">
    <cfRule type="expression" dxfId="352" priority="35">
      <formula>$K3="Sim"</formula>
    </cfRule>
    <cfRule type="expression" dxfId="351" priority="36">
      <formula>$B3=1</formula>
    </cfRule>
  </conditionalFormatting>
  <conditionalFormatting sqref="E7">
    <cfRule type="expression" dxfId="350" priority="43">
      <formula>$K6="Sim"</formula>
    </cfRule>
    <cfRule type="expression" dxfId="349" priority="44">
      <formula>$B6=1</formula>
    </cfRule>
  </conditionalFormatting>
  <conditionalFormatting sqref="E9 G9 E10:G12">
    <cfRule type="expression" dxfId="348" priority="27">
      <formula>$K9="Sim"</formula>
    </cfRule>
    <cfRule type="expression" dxfId="347" priority="28">
      <formula>$B9=1</formula>
    </cfRule>
  </conditionalFormatting>
  <conditionalFormatting sqref="B5:D5 F5:K5">
    <cfRule type="expression" dxfId="346" priority="21">
      <formula>$K5="Sim"</formula>
    </cfRule>
    <cfRule type="expression" dxfId="345" priority="22">
      <formula>$B5=1</formula>
    </cfRule>
  </conditionalFormatting>
  <conditionalFormatting sqref="B4:D4 F4:K4">
    <cfRule type="expression" dxfId="344" priority="19">
      <formula>$K4="Sim"</formula>
    </cfRule>
    <cfRule type="expression" dxfId="343" priority="20">
      <formula>$B4=1</formula>
    </cfRule>
  </conditionalFormatting>
  <conditionalFormatting sqref="E13:E19 G13:G22 E21:E22 E25">
    <cfRule type="expression" dxfId="342" priority="11">
      <formula>$K13="Sim"</formula>
    </cfRule>
    <cfRule type="expression" dxfId="341" priority="12">
      <formula>$B13=1</formula>
    </cfRule>
  </conditionalFormatting>
  <conditionalFormatting sqref="E20">
    <cfRule type="expression" dxfId="340" priority="6">
      <formula>$B20=1</formula>
    </cfRule>
  </conditionalFormatting>
  <dataValidations count="11">
    <dataValidation type="list" allowBlank="1" showInputMessage="1" showErrorMessage="1" sqref="K5:K13" xr:uid="{AE22F59C-EE34-441B-B143-0A5A6AA0B084}">
      <formula1>"Sim"</formula1>
    </dataValidation>
    <dataValidation type="list" allowBlank="1" showInputMessage="1" showErrorMessage="1" sqref="K4" xr:uid="{68A6E924-8CC7-41E5-9097-0D57F1F6CC5D}">
      <formula1>"Não"</formula1>
    </dataValidation>
    <dataValidation allowBlank="1" showInputMessage="1" showErrorMessage="1" prompt="Insira uma descrição do item nesta coluna" sqref="F2:F3" xr:uid="{B610A79B-BEF0-4802-91CF-1BA3A370D9A0}"/>
    <dataValidation allowBlank="1" showInputMessage="1" showErrorMessage="1" prompt="Insira a quantidade em estoque de cada item nesta coluna" sqref="G2:G3" xr:uid="{29F21EF0-9054-4820-ABE0-F550A6324159}"/>
    <dataValidation allowBlank="1" showInputMessage="1" showErrorMessage="1" prompt="Insira o nível de estoque de cada item nesta coluna" sqref="H2:H3" xr:uid="{5D3C62A5-E224-4F90-8479-B5D0F94832B3}"/>
    <dataValidation allowBlank="1" showInputMessage="1" showErrorMessage="1" prompt="Insira quantos dias faltam para realizar nova encomenda de cada item nesta coluna" sqref="I2:I3" xr:uid="{D5DDFE49-9542-440B-80AC-C765762635D7}"/>
    <dataValidation allowBlank="1" showInputMessage="1" showErrorMessage="1" prompt="Insira a quantidade a encomendar de cada item nesta coluna" sqref="J2:J3" xr:uid="{60639221-4B9E-4E72-9E1A-C7D690E6A45A}"/>
    <dataValidation allowBlank="1" showInputMessage="1" showErrorMessage="1" prompt="Insira sim se o item tiver sido descontinuado. Ao inserir Sim, a linha correspondente é realçada em cinza claro e o estilo da fonte é alterado para Tachado" sqref="K2:K3" xr:uid="{CA84F00C-E2BE-4AB9-85BF-A982B30F438D}"/>
    <dataValidation allowBlank="1" showInputMessage="1" showErrorMessage="1" prompt="Insira a ID de estoque do item nesta coluna" sqref="E2:E3" xr:uid="{F6959856-DE5A-4C6D-B18E-9037006CA7DA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2:D3" xr:uid="{F316F9BD-D95D-4957-9786-0175FA76715D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" xr:uid="{C199DF2C-7BE8-4B86-BAA9-CCDF13FF1434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8" id="{AD878BA6-5A92-43BD-A243-BCBA999F5883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B3:D25</xm:sqref>
        </x14:conditionalFormatting>
        <x14:conditionalFormatting xmlns:xm="http://schemas.microsoft.com/office/excel/2006/main">
          <x14:cfRule type="expression" priority="13" id="{04738946-BE71-4011-821A-5CA5A1023E0B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14" id="{303EEC54-79E2-4A21-BAD1-8080B1770AB6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E13:E19 E22:E24 G13:G25</xm:sqref>
        </x14:conditionalFormatting>
        <x14:conditionalFormatting xmlns:xm="http://schemas.microsoft.com/office/excel/2006/main">
          <x14:cfRule type="expression" priority="15" id="{C6983658-A325-41A1-8CDA-46503D2C9C23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16" id="{5DB44F4C-E6EC-432E-B475-72637F793E68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E13 G13</xm:sqref>
        </x14:conditionalFormatting>
        <x14:conditionalFormatting xmlns:xm="http://schemas.microsoft.com/office/excel/2006/main">
          <x14:cfRule type="expression" priority="17" id="{A2F9DB12-496D-4378-864D-9EB86FBE8A34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18" id="{B8534637-D60B-4511-A64F-E875AE94A1D7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expression" priority="1" id="{69559DF0-1EB2-4973-BA81-CCA60CE2F53B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2" id="{864A0781-4A91-429E-8AAB-3E49401876AB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E23:E24</xm:sqref>
        </x14:conditionalFormatting>
        <x14:conditionalFormatting xmlns:xm="http://schemas.microsoft.com/office/excel/2006/main">
          <x14:cfRule type="expression" priority="9" id="{69827334-3939-48BB-B1B0-5039BE01AA3C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10" id="{62ED7A8A-FDC6-49B1-8B46-E96419F3B094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F13:F19 F21:F25</xm:sqref>
        </x14:conditionalFormatting>
        <x14:conditionalFormatting xmlns:xm="http://schemas.microsoft.com/office/excel/2006/main">
          <x14:cfRule type="expression" priority="7" id="{4DFE510B-DB2E-427A-934C-0E2DAF3CB59B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8" id="{2CC53CA9-9EE9-4F20-B3AA-AF3548230935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E20:F21</xm:sqref>
        </x14:conditionalFormatting>
        <x14:conditionalFormatting xmlns:xm="http://schemas.microsoft.com/office/excel/2006/main">
          <x14:cfRule type="expression" priority="5" id="{8494D59E-8BE0-4F69-873B-19463A43A1A8}">
            <xm:f>'Kit Forro 3°'!#REF!="Sim"</xm:f>
            <x14:dxf>
              <font>
                <strike/>
                <color theme="1" tint="0.34998626667073579"/>
              </font>
            </x14:dxf>
          </x14:cfRule>
          <xm:sqref>E20:E21</xm:sqref>
        </x14:conditionalFormatting>
        <x14:conditionalFormatting xmlns:xm="http://schemas.microsoft.com/office/excel/2006/main">
          <x14:cfRule type="expression" priority="3" id="{B31928F9-503C-4734-8221-28791E66B394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4" id="{83382765-79D7-42BB-A7A0-B386AC3836FF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F23:G24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FCF4-BDC9-4F9F-A715-34AB47830752}">
  <sheetPr>
    <pageSetUpPr fitToPage="1"/>
  </sheetPr>
  <dimension ref="B1:L25"/>
  <sheetViews>
    <sheetView showGridLines="0" topLeftCell="E4" zoomScaleNormal="100" workbookViewId="0">
      <selection activeCell="N19" sqref="N19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4.33203125" style="6" customWidth="1"/>
    <col min="6" max="6" width="54.44140625" style="6" customWidth="1"/>
    <col min="7" max="7" width="2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5.6640625" style="4" customWidth="1"/>
    <col min="13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33</v>
      </c>
    </row>
    <row r="2" spans="2:12" s="1" customFormat="1" ht="78" customHeight="1">
      <c r="B2" s="2"/>
      <c r="C2" s="2"/>
      <c r="D2" s="2"/>
      <c r="E2" s="116" t="s">
        <v>64</v>
      </c>
      <c r="F2" s="116"/>
      <c r="G2" s="116"/>
      <c r="H2" s="116"/>
      <c r="I2" s="7"/>
    </row>
    <row r="3" spans="2:12" ht="23.25" customHeight="1">
      <c r="E3" s="117" t="s">
        <v>65</v>
      </c>
      <c r="F3" s="117"/>
      <c r="G3" s="117"/>
      <c r="H3" s="11"/>
      <c r="I3" s="11"/>
      <c r="J3" s="12"/>
      <c r="K3" s="13"/>
    </row>
    <row r="4" spans="2:12" s="3" customFormat="1" ht="50.1" customHeight="1">
      <c r="B4" s="9" t="s">
        <v>2</v>
      </c>
      <c r="C4" s="9" t="s">
        <v>3</v>
      </c>
      <c r="D4" s="9" t="s">
        <v>4</v>
      </c>
      <c r="E4" s="29" t="s">
        <v>5</v>
      </c>
      <c r="F4" s="29" t="s">
        <v>6</v>
      </c>
      <c r="G4" s="29" t="s">
        <v>7</v>
      </c>
      <c r="H4" s="9" t="s">
        <v>36</v>
      </c>
      <c r="I4" s="9" t="s">
        <v>37</v>
      </c>
      <c r="J4" s="9" t="s">
        <v>38</v>
      </c>
      <c r="K4" s="9" t="s">
        <v>39</v>
      </c>
    </row>
    <row r="5" spans="2:12" ht="24" customHeight="1">
      <c r="B5" s="3">
        <f>IFERROR((#REF!&lt;=#REF!)*(#REF!="")*RealceValor,0)</f>
        <v>0</v>
      </c>
      <c r="E5" s="15"/>
      <c r="F5" s="30" t="s">
        <v>8</v>
      </c>
      <c r="G5" s="46"/>
    </row>
    <row r="6" spans="2:12" ht="24" customHeight="1">
      <c r="B6" s="3">
        <f>IFERROR((#REF!&lt;=#REF!)*(#REF!="")*RealceValor,0)</f>
        <v>0</v>
      </c>
      <c r="E6" s="15">
        <v>57952</v>
      </c>
      <c r="F6" s="16" t="s">
        <v>40</v>
      </c>
      <c r="G6" s="28">
        <v>24</v>
      </c>
    </row>
    <row r="7" spans="2:12" ht="24" customHeight="1">
      <c r="B7" s="3">
        <f>IFERROR((#REF!&lt;=#REF!)*(#REF!="")*RealceValor,0)</f>
        <v>0</v>
      </c>
      <c r="E7" s="15">
        <v>41057</v>
      </c>
      <c r="F7" s="16" t="s">
        <v>41</v>
      </c>
      <c r="G7" s="28" t="s">
        <v>66</v>
      </c>
    </row>
    <row r="8" spans="2:12" ht="24" customHeight="1">
      <c r="B8" s="3">
        <f>IFERROR((#REF!&lt;=#REF!)*(#REF!="")*RealceValor,0)</f>
        <v>0</v>
      </c>
      <c r="E8" s="15">
        <v>12289</v>
      </c>
      <c r="F8" s="16" t="s">
        <v>43</v>
      </c>
      <c r="G8" s="28">
        <v>50</v>
      </c>
    </row>
    <row r="9" spans="2:12" ht="24" customHeight="1">
      <c r="B9" s="3">
        <f>IFERROR((#REF!&lt;=#REF!)*(#REF!="")*RealceValor,0)</f>
        <v>0</v>
      </c>
      <c r="E9" s="15">
        <v>14390</v>
      </c>
      <c r="F9" s="16" t="s">
        <v>47</v>
      </c>
      <c r="G9" s="28">
        <v>10000</v>
      </c>
    </row>
    <row r="10" spans="2:12" ht="24" customHeight="1">
      <c r="B10" s="3">
        <f>IFERROR((#REF!&lt;=#REF!)*(#REF!="")*RealceValor,0)</f>
        <v>0</v>
      </c>
      <c r="E10" s="15">
        <v>50693</v>
      </c>
      <c r="F10" s="16" t="s">
        <v>49</v>
      </c>
      <c r="G10" s="28">
        <v>7</v>
      </c>
    </row>
    <row r="11" spans="2:12" ht="24" customHeight="1">
      <c r="B11" s="3">
        <f>IFERROR((#REF!&lt;=#REF!)*(#REF!="")*RealceValor,0)</f>
        <v>0</v>
      </c>
      <c r="E11" s="15">
        <v>90737</v>
      </c>
      <c r="F11" s="16" t="s">
        <v>50</v>
      </c>
      <c r="G11" s="28">
        <v>6</v>
      </c>
    </row>
    <row r="12" spans="2:12" ht="24" customHeight="1">
      <c r="B12" s="3">
        <f>IFERROR((#REF!&lt;=#REF!)*(#REF!="")*RealceValor,0)</f>
        <v>0</v>
      </c>
      <c r="E12" s="15">
        <v>20236</v>
      </c>
      <c r="F12" s="16" t="s">
        <v>51</v>
      </c>
      <c r="G12" s="28">
        <v>3</v>
      </c>
    </row>
    <row r="13" spans="2:12" ht="24" customHeight="1">
      <c r="B13" s="3">
        <f>IFERROR((#REF!&lt;=#REF!)*(#REF!="")*RealceValor,0)</f>
        <v>0</v>
      </c>
      <c r="E13" s="15">
        <v>26481</v>
      </c>
      <c r="F13" s="16" t="s">
        <v>52</v>
      </c>
      <c r="G13" s="28">
        <v>23</v>
      </c>
    </row>
    <row r="14" spans="2:12" ht="24" customHeight="1">
      <c r="B14" s="3">
        <f>IFERROR((#REF!&lt;=#REF!)*(#REF!="")*RealceValor,0)</f>
        <v>0</v>
      </c>
      <c r="E14" s="15">
        <v>78571</v>
      </c>
      <c r="F14" s="16" t="s">
        <v>53</v>
      </c>
      <c r="G14" s="28">
        <v>5</v>
      </c>
    </row>
    <row r="15" spans="2:12" ht="24" customHeight="1">
      <c r="B15" s="3">
        <f>IFERROR((#REF!&lt;=#REF!)*(#REF!="")*RealceValor,0)</f>
        <v>0</v>
      </c>
      <c r="E15" s="15">
        <v>12262</v>
      </c>
      <c r="F15" s="16" t="s">
        <v>54</v>
      </c>
      <c r="G15" s="28">
        <v>50</v>
      </c>
    </row>
    <row r="16" spans="2:12" ht="24" customHeight="1">
      <c r="B16" s="3">
        <f>IFERROR((#REF!&lt;=#REF!)*(#REF!="")*RealceValor,0)</f>
        <v>0</v>
      </c>
      <c r="E16" s="15">
        <v>53679</v>
      </c>
      <c r="F16" s="76" t="s">
        <v>45</v>
      </c>
      <c r="G16" s="72">
        <v>20</v>
      </c>
    </row>
    <row r="17" spans="2:7" ht="24" customHeight="1">
      <c r="B17" s="3">
        <f>IFERROR((#REF!&lt;=#REF!)*(#REF!="")*RealceValor,0)</f>
        <v>0</v>
      </c>
      <c r="E17" s="113">
        <v>53678</v>
      </c>
      <c r="F17" s="106" t="s">
        <v>55</v>
      </c>
      <c r="G17" s="107">
        <v>30</v>
      </c>
    </row>
    <row r="18" spans="2:7" ht="24" customHeight="1">
      <c r="B18" s="3">
        <f>IFERROR((#REF!&lt;=#REF!)*(#REF!="")*RealceValor,0)</f>
        <v>0</v>
      </c>
      <c r="E18" s="113">
        <v>14390</v>
      </c>
      <c r="F18" s="106" t="s">
        <v>47</v>
      </c>
      <c r="G18" s="107">
        <v>2000</v>
      </c>
    </row>
    <row r="19" spans="2:7" ht="24" customHeight="1">
      <c r="B19" s="3">
        <f>IFERROR((#REF!&lt;=#REF!)*(#REF!="")*RealceValor,0)</f>
        <v>0</v>
      </c>
      <c r="E19" s="113">
        <v>50693</v>
      </c>
      <c r="F19" s="106" t="s">
        <v>49</v>
      </c>
      <c r="G19" s="107">
        <v>2</v>
      </c>
    </row>
    <row r="20" spans="2:7" ht="24" customHeight="1">
      <c r="B20" s="3">
        <f>IFERROR((#REF!&lt;=#REF!)*(#REF!="")*RealceValor,0)</f>
        <v>0</v>
      </c>
      <c r="E20" s="113">
        <v>90737</v>
      </c>
      <c r="F20" s="106" t="s">
        <v>50</v>
      </c>
      <c r="G20" s="107">
        <v>1</v>
      </c>
    </row>
    <row r="21" spans="2:7" ht="24" customHeight="1">
      <c r="B21" s="3">
        <f>IFERROR((#REF!&lt;=#REF!)*(#REF!="")*RealceValor,0)</f>
        <v>0</v>
      </c>
      <c r="E21" s="114">
        <v>20236</v>
      </c>
      <c r="F21" s="106" t="s">
        <v>51</v>
      </c>
      <c r="G21" s="115">
        <v>1</v>
      </c>
    </row>
    <row r="22" spans="2:7" ht="24" customHeight="1">
      <c r="B22" s="3">
        <f>IFERROR((#REF!&lt;=#REF!)*(#REF!="")*RealceValor,0)</f>
        <v>0</v>
      </c>
      <c r="E22" s="114">
        <v>26481</v>
      </c>
      <c r="F22" s="106" t="s">
        <v>52</v>
      </c>
      <c r="G22" s="107">
        <v>4</v>
      </c>
    </row>
    <row r="23" spans="2:7" ht="24" customHeight="1">
      <c r="B23" s="3">
        <f>IFERROR((#REF!&lt;=#REF!)*(#REF!="")*RealceValor,0)</f>
        <v>0</v>
      </c>
      <c r="E23" s="113">
        <v>78571</v>
      </c>
      <c r="F23" s="106" t="s">
        <v>53</v>
      </c>
      <c r="G23" s="107">
        <v>2</v>
      </c>
    </row>
    <row r="24" spans="2:7" ht="24" customHeight="1">
      <c r="B24" s="3">
        <f>IFERROR((#REF!&lt;=#REF!)*(#REF!="")*RealceValor,0)</f>
        <v>0</v>
      </c>
      <c r="E24" s="113">
        <v>12262</v>
      </c>
      <c r="F24" s="106" t="s">
        <v>54</v>
      </c>
      <c r="G24" s="107">
        <v>50</v>
      </c>
    </row>
    <row r="25" spans="2:7" ht="24" customHeight="1">
      <c r="E25" s="123" t="s">
        <v>63</v>
      </c>
      <c r="F25" s="123"/>
      <c r="G25" s="123"/>
    </row>
  </sheetData>
  <mergeCells count="3">
    <mergeCell ref="E3:G3"/>
    <mergeCell ref="E2:H2"/>
    <mergeCell ref="E25:G25"/>
  </mergeCells>
  <conditionalFormatting sqref="B16:D24 H16:K24">
    <cfRule type="expression" dxfId="303" priority="284">
      <formula>$K25="Sim"</formula>
    </cfRule>
    <cfRule type="expression" dxfId="302" priority="285">
      <formula>$B25=1</formula>
    </cfRule>
  </conditionalFormatting>
  <conditionalFormatting sqref="B5:E5 G5:K5">
    <cfRule type="expression" dxfId="301" priority="79">
      <formula>$K5="Sim"</formula>
    </cfRule>
    <cfRule type="expression" dxfId="300" priority="80">
      <formula>$B5=1</formula>
    </cfRule>
  </conditionalFormatting>
  <conditionalFormatting sqref="B7:K15 E6:G15">
    <cfRule type="expression" dxfId="299" priority="206">
      <formula>#REF!="Sim"</formula>
    </cfRule>
    <cfRule type="expression" dxfId="298" priority="207">
      <formula>#REF!=1</formula>
    </cfRule>
  </conditionalFormatting>
  <conditionalFormatting sqref="F5">
    <cfRule type="expression" dxfId="297" priority="59">
      <formula>$K5="Sim"</formula>
    </cfRule>
    <cfRule type="expression" dxfId="296" priority="60">
      <formula>$B5=1</formula>
    </cfRule>
  </conditionalFormatting>
  <conditionalFormatting sqref="G14:G15">
    <cfRule type="expression" dxfId="295" priority="19">
      <formula>#REF!="Sim"</formula>
    </cfRule>
    <cfRule type="expression" dxfId="294" priority="20">
      <formula>#REF!=1</formula>
    </cfRule>
  </conditionalFormatting>
  <conditionalFormatting sqref="B6:K7">
    <cfRule type="expression" dxfId="293" priority="673">
      <formula>#REF!="Sim"</formula>
    </cfRule>
    <cfRule type="expression" dxfId="292" priority="674">
      <formula>#REF!=1</formula>
    </cfRule>
  </conditionalFormatting>
  <dataValidations count="12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FB81555F-0041-460C-B118-2AF29D15564E}"/>
    <dataValidation allowBlank="1" showInputMessage="1" showErrorMessage="1" prompt="Insira uma descrição do item nesta coluna" sqref="F4:F5" xr:uid="{99314C35-DB6F-4DA9-B7A9-E71F4309AD67}"/>
    <dataValidation allowBlank="1" showInputMessage="1" showErrorMessage="1" prompt="Insira a quantidade em estoque de cada item nesta coluna" sqref="G4" xr:uid="{85D1EA32-25F1-4665-89AF-6946253DB5D7}"/>
    <dataValidation allowBlank="1" showInputMessage="1" showErrorMessage="1" prompt="Insira o nível de estoque de cada item nesta coluna" sqref="H4" xr:uid="{282D22C5-FFBA-44B9-AE68-146EC2430FA4}"/>
    <dataValidation allowBlank="1" showInputMessage="1" showErrorMessage="1" prompt="Insira quantos dias faltam para realizar nova encomenda de cada item nesta coluna" sqref="I4" xr:uid="{6B3467DC-6FBF-4A78-894F-33841906DFD0}"/>
    <dataValidation allowBlank="1" showInputMessage="1" showErrorMessage="1" prompt="Insira a quantidade a encomendar de cada item nesta coluna" sqref="J4" xr:uid="{DF92E3F3-2DF9-47D9-B2AF-A623E0FC04EB}"/>
    <dataValidation allowBlank="1" showInputMessage="1" showErrorMessage="1" prompt="Insira sim se o item tiver sido descontinuado. Ao inserir Sim, a linha correspondente é realçada em cinza claro e o estilo da fonte é alterado para Tachado" sqref="K4" xr:uid="{FF5CD731-4C53-4F61-8862-4986C418CEDD}"/>
    <dataValidation allowBlank="1" showInputMessage="1" showErrorMessage="1" prompt="Insira a ID de estoque do item nesta coluna" sqref="E4" xr:uid="{535298BB-4D33-48C5-87EC-E3DE6B37E471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9C184BDD-FEA5-470D-A3C0-90562C858DE9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75F21079-1D02-4684-8A40-4CC5BBA700B0}">
      <formula1>"Sim, Não"</formula1>
    </dataValidation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76CDFBA4-02C2-48BA-AB0A-7A0A7E5D43EB}"/>
    <dataValidation type="list" allowBlank="1" showInputMessage="1" showErrorMessage="1" sqref="K5:K24" xr:uid="{749CF82F-6653-4F25-9522-70109AD4E233}">
      <formula1>"Sim"</formula1>
    </dataValidation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9D12DEE-AB20-4DC7-A1A4-79E15102B0B5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4" id="{A6744227-60B5-4828-9278-D93E29427759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E16:E24 G16:G24</xm:sqref>
        </x14:conditionalFormatting>
        <x14:conditionalFormatting xmlns:xm="http://schemas.microsoft.com/office/excel/2006/main">
          <x14:cfRule type="expression" priority="1" id="{46527D52-BD38-4722-8934-E634A4912F12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2" id="{D4612287-9B34-4E73-85BE-B61105236F9D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F16:F24</xm:sqref>
        </x14:conditionalFormatting>
        <x14:conditionalFormatting xmlns:xm="http://schemas.microsoft.com/office/excel/2006/main">
          <x14:cfRule type="iconSet" priority="675" id="{6DB40E21-EC65-4A74-B2F9-A7ED02DDE82A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9F51-15BC-42FF-B50B-2E09C5EE1A71}">
  <sheetPr>
    <pageSetUpPr fitToPage="1"/>
  </sheetPr>
  <dimension ref="B1:O28"/>
  <sheetViews>
    <sheetView showGridLines="0" zoomScale="85" zoomScaleNormal="85" workbookViewId="0">
      <selection activeCell="N10" sqref="N10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5.44140625" style="6" customWidth="1"/>
    <col min="6" max="6" width="54.5546875" style="6" customWidth="1"/>
    <col min="7" max="7" width="10.55468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33</v>
      </c>
    </row>
    <row r="2" spans="2:12" s="1" customFormat="1" ht="45.75" customHeight="1">
      <c r="B2" s="2"/>
      <c r="C2" s="2"/>
      <c r="D2" s="2"/>
      <c r="E2" s="116" t="s">
        <v>67</v>
      </c>
      <c r="F2" s="116"/>
      <c r="G2" s="116"/>
      <c r="H2" s="116"/>
      <c r="I2" s="7"/>
    </row>
    <row r="3" spans="2:12" ht="18.75" customHeight="1">
      <c r="E3" s="117" t="s">
        <v>65</v>
      </c>
      <c r="F3" s="117"/>
      <c r="G3" s="117"/>
      <c r="H3" s="11"/>
      <c r="I3" s="11"/>
      <c r="J3" s="12"/>
      <c r="K3" s="13"/>
    </row>
    <row r="4" spans="2:12" s="3" customFormat="1" ht="18.75" customHeight="1">
      <c r="B4" s="9" t="s">
        <v>2</v>
      </c>
      <c r="C4" s="9" t="s">
        <v>3</v>
      </c>
      <c r="D4" s="9" t="s">
        <v>4</v>
      </c>
      <c r="E4" s="29" t="s">
        <v>5</v>
      </c>
      <c r="F4" s="29" t="s">
        <v>6</v>
      </c>
      <c r="G4" s="29" t="s">
        <v>7</v>
      </c>
      <c r="H4" s="9" t="s">
        <v>36</v>
      </c>
      <c r="I4" s="9" t="s">
        <v>37</v>
      </c>
      <c r="J4" s="9" t="s">
        <v>38</v>
      </c>
      <c r="K4" s="9" t="s">
        <v>39</v>
      </c>
    </row>
    <row r="5" spans="2:12" ht="20.25" customHeight="1">
      <c r="B5" s="3">
        <f>IFERROR((#REF!&lt;=#REF!)*(#REF!="")*RealceValor,0)</f>
        <v>0</v>
      </c>
      <c r="E5" s="15"/>
      <c r="F5" s="30" t="s">
        <v>68</v>
      </c>
      <c r="G5" s="46"/>
    </row>
    <row r="6" spans="2:12" s="75" customFormat="1" ht="18.75" customHeight="1">
      <c r="B6" s="71">
        <f>IFERROR((#REF!&lt;=#REF!)*(#REF!="")*RealceValor,0)</f>
        <v>0</v>
      </c>
      <c r="C6" s="71"/>
      <c r="D6" s="71"/>
      <c r="E6" s="15">
        <v>90609</v>
      </c>
      <c r="F6" s="76" t="s">
        <v>18</v>
      </c>
      <c r="G6" s="72">
        <v>90</v>
      </c>
      <c r="H6" s="73"/>
      <c r="I6" s="73"/>
      <c r="J6" s="73"/>
      <c r="K6" s="74"/>
    </row>
    <row r="7" spans="2:12" s="75" customFormat="1" ht="25.5" customHeight="1">
      <c r="B7" s="71">
        <f>IFERROR((#REF!&lt;=#REF!)*(#REF!="")*RealceValor,0)</f>
        <v>0</v>
      </c>
      <c r="C7" s="71"/>
      <c r="D7" s="71"/>
      <c r="E7" s="15">
        <v>91458</v>
      </c>
      <c r="F7" s="76" t="s">
        <v>19</v>
      </c>
      <c r="G7" s="72">
        <v>50</v>
      </c>
      <c r="H7" s="73"/>
      <c r="I7" s="73"/>
      <c r="J7" s="73"/>
      <c r="K7" s="74"/>
    </row>
    <row r="8" spans="2:12" s="75" customFormat="1" ht="18.75" customHeight="1">
      <c r="B8" s="71">
        <f>IFERROR((#REF!&lt;=#REF!)*(#REF!="")*RealceValor,0)</f>
        <v>0</v>
      </c>
      <c r="C8" s="71"/>
      <c r="D8" s="71"/>
      <c r="E8" s="15">
        <v>14823</v>
      </c>
      <c r="F8" s="76" t="s">
        <v>12</v>
      </c>
      <c r="G8" s="72">
        <v>500</v>
      </c>
      <c r="H8" s="73"/>
      <c r="I8" s="73"/>
      <c r="J8" s="73"/>
      <c r="K8" s="74"/>
    </row>
    <row r="9" spans="2:12" s="75" customFormat="1" ht="18.75" customHeight="1">
      <c r="B9" s="71">
        <f>IFERROR((#REF!&lt;=#REF!)*(#REF!="")*RealceValor,0)</f>
        <v>0</v>
      </c>
      <c r="C9" s="71"/>
      <c r="D9" s="71"/>
      <c r="E9" s="15">
        <v>95860</v>
      </c>
      <c r="F9" s="76" t="s">
        <v>21</v>
      </c>
      <c r="G9" s="72">
        <v>300</v>
      </c>
      <c r="H9" s="73"/>
      <c r="I9" s="73"/>
      <c r="J9" s="73"/>
      <c r="K9" s="74"/>
    </row>
    <row r="10" spans="2:12" s="75" customFormat="1" ht="18.75" customHeight="1">
      <c r="B10" s="71">
        <f>IFERROR((#REF!&lt;=#REF!)*(#REF!="")*RealceValor,0)</f>
        <v>0</v>
      </c>
      <c r="C10" s="71"/>
      <c r="D10" s="71"/>
      <c r="E10" s="15">
        <v>72755</v>
      </c>
      <c r="F10" s="76" t="s">
        <v>22</v>
      </c>
      <c r="G10" s="72">
        <v>15</v>
      </c>
      <c r="H10" s="73"/>
      <c r="I10" s="73"/>
      <c r="J10" s="73"/>
      <c r="K10" s="74"/>
    </row>
    <row r="11" spans="2:12" s="75" customFormat="1" ht="18.75" customHeight="1">
      <c r="B11" s="71">
        <f>IFERROR((#REF!&lt;=#REF!)*(#REF!="")*RealceValor,0)</f>
        <v>0</v>
      </c>
      <c r="C11" s="71"/>
      <c r="D11" s="71"/>
      <c r="E11" s="15">
        <v>90608</v>
      </c>
      <c r="F11" s="76" t="s">
        <v>23</v>
      </c>
      <c r="G11" s="72">
        <v>300</v>
      </c>
      <c r="H11" s="73"/>
      <c r="I11" s="73"/>
      <c r="J11" s="73"/>
      <c r="K11" s="74"/>
    </row>
    <row r="12" spans="2:12" s="75" customFormat="1" ht="18.75" customHeight="1">
      <c r="B12" s="71">
        <f>IFERROR((#REF!&lt;=#REF!)*(#REF!="")*RealceValor,0)</f>
        <v>0</v>
      </c>
      <c r="C12" s="71"/>
      <c r="D12" s="71"/>
      <c r="E12" s="15">
        <v>97790</v>
      </c>
      <c r="F12" s="76" t="s">
        <v>24</v>
      </c>
      <c r="G12" s="72">
        <v>3</v>
      </c>
      <c r="H12" s="73"/>
      <c r="I12" s="73"/>
      <c r="J12" s="73"/>
      <c r="K12" s="74"/>
    </row>
    <row r="13" spans="2:12" s="75" customFormat="1" ht="18.75" customHeight="1">
      <c r="B13" s="71">
        <f>IFERROR((#REF!&lt;=#REF!)*(#REF!="")*RealceValor,0)</f>
        <v>0</v>
      </c>
      <c r="C13" s="71"/>
      <c r="D13" s="71"/>
      <c r="E13" s="31">
        <v>99163</v>
      </c>
      <c r="F13" s="27" t="s">
        <v>27</v>
      </c>
      <c r="G13" s="72">
        <v>4</v>
      </c>
      <c r="H13" s="73"/>
      <c r="I13" s="73"/>
      <c r="J13" s="73"/>
      <c r="K13" s="74"/>
    </row>
    <row r="14" spans="2:12" s="75" customFormat="1" ht="18.75" customHeight="1">
      <c r="B14" s="71">
        <f>IFERROR((#REF!&lt;=#REF!)*(#REF!="")*RealceValor,0)</f>
        <v>0</v>
      </c>
      <c r="C14" s="71"/>
      <c r="D14" s="71"/>
      <c r="E14" s="15">
        <v>99160</v>
      </c>
      <c r="F14" s="76" t="s">
        <v>16</v>
      </c>
      <c r="G14" s="72">
        <v>1</v>
      </c>
      <c r="H14" s="73"/>
      <c r="I14" s="73"/>
      <c r="J14" s="73"/>
      <c r="K14" s="74"/>
    </row>
    <row r="15" spans="2:12" s="75" customFormat="1" ht="24.75" customHeight="1">
      <c r="B15" s="71">
        <f>IFERROR((#REF!&lt;=#REF!)*(#REF!="")*RealceValor,0)</f>
        <v>0</v>
      </c>
      <c r="C15" s="71"/>
      <c r="D15" s="71"/>
      <c r="E15" s="21">
        <v>99165</v>
      </c>
      <c r="F15" s="76" t="s">
        <v>29</v>
      </c>
      <c r="G15" s="72">
        <v>5</v>
      </c>
      <c r="H15" s="73"/>
      <c r="I15" s="73"/>
      <c r="J15" s="73"/>
      <c r="K15" s="74"/>
    </row>
    <row r="16" spans="2:12" ht="24" customHeight="1">
      <c r="B16" s="50">
        <f>IFERROR((#REF!&lt;=#REF!)*(#REF!="")*RealceValor,0)</f>
        <v>0</v>
      </c>
      <c r="E16" s="56">
        <v>27139</v>
      </c>
      <c r="F16" s="51" t="s">
        <v>31</v>
      </c>
      <c r="G16" s="52">
        <v>250</v>
      </c>
      <c r="H16" s="53"/>
      <c r="I16" s="53"/>
      <c r="J16" s="53"/>
      <c r="K16" s="54"/>
    </row>
    <row r="17" spans="2:15" ht="24" customHeight="1">
      <c r="B17" s="50">
        <f>IFERROR((#REF!&lt;=#REF!)*(#REF!="")*RealceValor,0)</f>
        <v>0</v>
      </c>
      <c r="E17" s="56">
        <v>65025</v>
      </c>
      <c r="F17" s="51" t="s">
        <v>32</v>
      </c>
      <c r="G17" s="58">
        <v>250</v>
      </c>
      <c r="H17" s="53"/>
      <c r="I17" s="53"/>
      <c r="J17" s="53"/>
      <c r="K17" s="54"/>
    </row>
    <row r="18" spans="2:15" s="75" customFormat="1" ht="18.75" customHeight="1">
      <c r="B18" s="71">
        <f>IFERROR((#REF!&lt;=#REF!)*(#REF!="")*RealceValor,0)</f>
        <v>0</v>
      </c>
      <c r="C18" s="71"/>
      <c r="D18" s="71"/>
      <c r="E18" s="15">
        <v>99155</v>
      </c>
      <c r="F18" s="76" t="s">
        <v>17</v>
      </c>
      <c r="G18" s="72">
        <v>2</v>
      </c>
      <c r="H18" s="73"/>
      <c r="I18" s="73"/>
      <c r="J18" s="73"/>
      <c r="K18" s="74"/>
    </row>
    <row r="19" spans="2:15" s="73" customFormat="1" ht="27" customHeight="1">
      <c r="B19" s="71">
        <f>IFERROR((#REF!&lt;=#REF!)*(#REF!="")*RealceValor,0)</f>
        <v>0</v>
      </c>
      <c r="C19" s="71"/>
      <c r="D19" s="71"/>
      <c r="E19" s="15">
        <v>53679</v>
      </c>
      <c r="F19" s="76" t="s">
        <v>45</v>
      </c>
      <c r="G19" s="72">
        <v>20</v>
      </c>
      <c r="K19" s="74"/>
      <c r="L19" s="75"/>
      <c r="M19" s="75"/>
      <c r="N19" s="75"/>
      <c r="O19" s="75"/>
    </row>
    <row r="20" spans="2:15" s="73" customFormat="1" ht="27" customHeight="1">
      <c r="B20" s="71">
        <f>IFERROR((#REF!&lt;=#REF!)*(#REF!="")*RealceValor,0)</f>
        <v>0</v>
      </c>
      <c r="C20" s="71"/>
      <c r="D20" s="71"/>
      <c r="E20" s="77">
        <v>53678</v>
      </c>
      <c r="F20" s="76" t="s">
        <v>55</v>
      </c>
      <c r="G20" s="72">
        <v>30</v>
      </c>
      <c r="K20" s="74"/>
      <c r="L20" s="75"/>
      <c r="M20" s="75"/>
      <c r="N20" s="75"/>
      <c r="O20" s="75"/>
    </row>
    <row r="21" spans="2:15" s="73" customFormat="1" ht="18.75" customHeight="1">
      <c r="B21" s="71">
        <f>IFERROR((#REF!&lt;=#REF!)*(#REF!="")*RealceValor,0)</f>
        <v>0</v>
      </c>
      <c r="C21" s="71"/>
      <c r="D21" s="71"/>
      <c r="E21" s="77">
        <v>14390</v>
      </c>
      <c r="F21" s="76" t="s">
        <v>47</v>
      </c>
      <c r="G21" s="72">
        <v>2000</v>
      </c>
      <c r="K21" s="74"/>
      <c r="L21" s="75"/>
      <c r="M21" s="75"/>
      <c r="N21" s="75"/>
      <c r="O21" s="75"/>
    </row>
    <row r="22" spans="2:15" s="73" customFormat="1" ht="18.75" customHeight="1">
      <c r="B22" s="71">
        <f>IFERROR((#REF!&lt;=#REF!)*(#REF!="")*RealceValor,0)</f>
        <v>0</v>
      </c>
      <c r="C22" s="71"/>
      <c r="D22" s="71"/>
      <c r="E22" s="77">
        <v>50693</v>
      </c>
      <c r="F22" s="76" t="s">
        <v>49</v>
      </c>
      <c r="G22" s="72">
        <v>2</v>
      </c>
      <c r="K22" s="74"/>
      <c r="L22" s="75"/>
      <c r="M22" s="75"/>
      <c r="N22" s="75"/>
      <c r="O22" s="75"/>
    </row>
    <row r="23" spans="2:15" s="73" customFormat="1" ht="18.75" customHeight="1">
      <c r="B23" s="71">
        <f>IFERROR((#REF!&lt;=#REF!)*(#REF!="")*RealceValor,0)</f>
        <v>0</v>
      </c>
      <c r="C23" s="71"/>
      <c r="D23" s="71"/>
      <c r="E23" s="77">
        <v>90737</v>
      </c>
      <c r="F23" s="76" t="s">
        <v>50</v>
      </c>
      <c r="G23" s="72">
        <v>1</v>
      </c>
      <c r="K23" s="74"/>
      <c r="L23" s="75"/>
      <c r="M23" s="75"/>
      <c r="N23" s="75"/>
      <c r="O23" s="75"/>
    </row>
    <row r="24" spans="2:15" s="73" customFormat="1" ht="18.75" customHeight="1">
      <c r="B24" s="71">
        <f>IFERROR((#REF!&lt;=#REF!)*(#REF!="")*RealceValor,0)</f>
        <v>0</v>
      </c>
      <c r="C24" s="71"/>
      <c r="D24" s="71"/>
      <c r="E24" s="78">
        <v>20236</v>
      </c>
      <c r="F24" s="76" t="s">
        <v>51</v>
      </c>
      <c r="G24" s="79">
        <v>1</v>
      </c>
      <c r="K24" s="74"/>
      <c r="L24" s="75"/>
      <c r="M24" s="75"/>
      <c r="N24" s="75"/>
      <c r="O24" s="75"/>
    </row>
    <row r="25" spans="2:15" s="73" customFormat="1" ht="18.75" customHeight="1">
      <c r="B25" s="71">
        <f>IFERROR((#REF!&lt;=#REF!)*(#REF!="")*RealceValor,0)</f>
        <v>0</v>
      </c>
      <c r="C25" s="71"/>
      <c r="D25" s="71"/>
      <c r="E25" s="78">
        <v>26481</v>
      </c>
      <c r="F25" s="76" t="s">
        <v>52</v>
      </c>
      <c r="G25" s="72">
        <v>4</v>
      </c>
      <c r="K25" s="74"/>
      <c r="L25" s="75"/>
      <c r="M25" s="75"/>
      <c r="N25" s="75"/>
      <c r="O25" s="75"/>
    </row>
    <row r="26" spans="2:15" s="73" customFormat="1" ht="23.25">
      <c r="B26" s="71">
        <f>IFERROR((#REF!&lt;=#REF!)*(#REF!="")*RealceValor,0)</f>
        <v>0</v>
      </c>
      <c r="C26" s="71"/>
      <c r="D26" s="71"/>
      <c r="E26" s="77">
        <v>78571</v>
      </c>
      <c r="F26" s="76" t="s">
        <v>53</v>
      </c>
      <c r="G26" s="72">
        <v>2</v>
      </c>
      <c r="K26" s="74"/>
      <c r="L26" s="75"/>
      <c r="M26" s="75"/>
      <c r="N26" s="75"/>
      <c r="O26" s="75"/>
    </row>
    <row r="27" spans="2:15" s="73" customFormat="1" ht="18.75" customHeight="1">
      <c r="B27" s="71">
        <f>IFERROR((#REF!&lt;=#REF!)*(#REF!="")*RealceValor,0)</f>
        <v>0</v>
      </c>
      <c r="C27" s="71"/>
      <c r="D27" s="71"/>
      <c r="E27" s="77">
        <v>12262</v>
      </c>
      <c r="F27" s="76" t="s">
        <v>54</v>
      </c>
      <c r="G27" s="72">
        <v>50</v>
      </c>
      <c r="K27" s="74"/>
      <c r="L27" s="75"/>
      <c r="M27" s="75"/>
      <c r="N27" s="75"/>
      <c r="O27" s="75"/>
    </row>
    <row r="28" spans="2:15" ht="24" customHeight="1">
      <c r="E28" s="118" t="s">
        <v>60</v>
      </c>
      <c r="F28" s="118"/>
      <c r="G28" s="118"/>
    </row>
  </sheetData>
  <mergeCells count="3">
    <mergeCell ref="E2:H2"/>
    <mergeCell ref="E3:G3"/>
    <mergeCell ref="E28:G28"/>
  </mergeCells>
  <conditionalFormatting sqref="B21:D27 H21:K27">
    <cfRule type="expression" dxfId="266" priority="27">
      <formula>$K28="Sim"</formula>
    </cfRule>
    <cfRule type="expression" dxfId="265" priority="28">
      <formula>$B28=1</formula>
    </cfRule>
  </conditionalFormatting>
  <conditionalFormatting sqref="B5:E5 G5:K5 E6:E12 G6:G15 E14:E15 E18">
    <cfRule type="expression" dxfId="264" priority="21">
      <formula>$K5="Sim"</formula>
    </cfRule>
    <cfRule type="expression" dxfId="263" priority="22">
      <formula>$B5=1</formula>
    </cfRule>
  </conditionalFormatting>
  <conditionalFormatting sqref="E6 E19:E27 B7:E12 G6:G14 G19:G27 B15:E17 B18:D18 B13:D14 G7:K18">
    <cfRule type="expression" dxfId="262" priority="25">
      <formula>#REF!="Sim"</formula>
    </cfRule>
    <cfRule type="expression" dxfId="261" priority="26">
      <formula>#REF!=1</formula>
    </cfRule>
  </conditionalFormatting>
  <conditionalFormatting sqref="F5">
    <cfRule type="expression" dxfId="260" priority="19">
      <formula>$K5="Sim"</formula>
    </cfRule>
    <cfRule type="expression" dxfId="259" priority="20">
      <formula>$B5=1</formula>
    </cfRule>
  </conditionalFormatting>
  <conditionalFormatting sqref="B6:E6 G6:K6">
    <cfRule type="expression" dxfId="258" priority="538">
      <formula>#REF!="Sim"</formula>
    </cfRule>
    <cfRule type="expression" dxfId="257" priority="539">
      <formula>#REF!=1</formula>
    </cfRule>
  </conditionalFormatting>
  <conditionalFormatting sqref="G18">
    <cfRule type="expression" dxfId="256" priority="556">
      <formula>#REF!="Sim"</formula>
    </cfRule>
    <cfRule type="expression" dxfId="255" priority="557">
      <formula>#REF!=1</formula>
    </cfRule>
  </conditionalFormatting>
  <conditionalFormatting sqref="E13">
    <cfRule type="expression" dxfId="254" priority="6">
      <formula>$B13=1</formula>
    </cfRule>
  </conditionalFormatting>
  <conditionalFormatting sqref="E16:E17">
    <cfRule type="expression" dxfId="253" priority="1">
      <formula>#REF!="Sim"</formula>
    </cfRule>
    <cfRule type="expression" dxfId="252" priority="2">
      <formula>#REF!=1</formula>
    </cfRule>
  </conditionalFormatting>
  <conditionalFormatting sqref="B19:D20 H19:K20">
    <cfRule type="expression" dxfId="251" priority="660">
      <formula>$K16="Sim"</formula>
    </cfRule>
    <cfRule type="expression" dxfId="250" priority="661">
      <formula>$B16=1</formula>
    </cfRule>
  </conditionalFormatting>
  <dataValidations count="12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1CEF2C12-8728-4632-B80D-F8558ED37511}"/>
    <dataValidation allowBlank="1" showInputMessage="1" showErrorMessage="1" prompt="Insira a ID de estoque do item nesta coluna" sqref="E4" xr:uid="{87494F5F-7569-4C01-A338-19B9BF015B5E}"/>
    <dataValidation allowBlank="1" showInputMessage="1" showErrorMessage="1" prompt="Insira sim se o item tiver sido descontinuado. Ao inserir Sim, a linha correspondente é realçada em cinza claro e o estilo da fonte é alterado para Tachado" sqref="K4" xr:uid="{63720745-2570-4C45-8831-8F1097343D66}"/>
    <dataValidation allowBlank="1" showInputMessage="1" showErrorMessage="1" prompt="Insira a quantidade a encomendar de cada item nesta coluna" sqref="J4" xr:uid="{8CE5D21D-7112-4CD5-B754-B940E8922448}"/>
    <dataValidation allowBlank="1" showInputMessage="1" showErrorMessage="1" prompt="Insira quantos dias faltam para realizar nova encomenda de cada item nesta coluna" sqref="I4" xr:uid="{2A9BBA64-FFAC-4D65-A255-C3DDA8178DE3}"/>
    <dataValidation allowBlank="1" showInputMessage="1" showErrorMessage="1" prompt="Insira o nível de estoque de cada item nesta coluna" sqref="H4" xr:uid="{8EF8C488-C0BC-4EC2-9893-BBACA0BA1E66}"/>
    <dataValidation allowBlank="1" showInputMessage="1" showErrorMessage="1" prompt="Insira a quantidade em estoque de cada item nesta coluna" sqref="G4" xr:uid="{D3B3A6F1-011A-48FE-84BA-DCC14CCB3F7B}"/>
    <dataValidation allowBlank="1" showInputMessage="1" showErrorMessage="1" prompt="Insira uma descrição do item nesta coluna" sqref="F4:F5" xr:uid="{468C228E-B9B8-4C2D-9984-0660123FC668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6FD3393D-FF67-4E6C-B693-85962DB6E641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C52B2803-E6C0-46A1-B1A8-42D9AF502E54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2CC3E6B5-A779-4D8B-961D-ECD2C17C2901}">
      <formula1>"Sim, Não"</formula1>
    </dataValidation>
    <dataValidation type="list" allowBlank="1" showInputMessage="1" showErrorMessage="1" sqref="K5:K27" xr:uid="{8B57193C-D7FC-46CB-A33C-C3FC2386C1FF}">
      <formula1>"Sim"</formula1>
    </dataValidation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B49828C2-A8F6-49BC-BEC9-F3E407281999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10" id="{CD4B8118-1376-4FD0-9E58-C84655771B5B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F6:F12 F14:F27</xm:sqref>
        </x14:conditionalFormatting>
        <x14:conditionalFormatting xmlns:xm="http://schemas.microsoft.com/office/excel/2006/main">
          <x14:cfRule type="expression" priority="7" id="{D88D66AF-EEBC-473E-A313-75166F6611C9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8" id="{087FAE12-CA9D-4BE8-B5FA-760AE7CE1566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E13:F14</xm:sqref>
        </x14:conditionalFormatting>
        <x14:conditionalFormatting xmlns:xm="http://schemas.microsoft.com/office/excel/2006/main">
          <x14:cfRule type="expression" priority="5" id="{AC9827B0-BC27-4263-A2E2-56BBCEE6996F}">
            <xm:f>'Kit Forro 3°'!#REF!="Sim"</xm:f>
            <x14:dxf>
              <font>
                <strike/>
                <color theme="1" tint="0.34998626667073579"/>
              </font>
            </x14:dxf>
          </x14:cfRule>
          <xm:sqref>E13:E14</xm:sqref>
        </x14:conditionalFormatting>
        <x14:conditionalFormatting xmlns:xm="http://schemas.microsoft.com/office/excel/2006/main">
          <x14:cfRule type="expression" priority="3" id="{111FC807-419C-4FC8-B7D8-10260F5F2FA2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4" id="{5EBF5D64-8D69-46D3-808A-F23AD29D87CF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F16:G17</xm:sqref>
        </x14:conditionalFormatting>
        <x14:conditionalFormatting xmlns:xm="http://schemas.microsoft.com/office/excel/2006/main">
          <x14:cfRule type="iconSet" priority="670" id="{CCF96989-6617-4715-80A2-6B08BD841BDE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3D4E-7DC1-4414-AC5E-E1A6746B3807}">
  <sheetPr>
    <pageSetUpPr fitToPage="1"/>
  </sheetPr>
  <dimension ref="B1:H24"/>
  <sheetViews>
    <sheetView showGridLines="0" topLeftCell="A5" zoomScale="91" zoomScaleNormal="57" workbookViewId="0">
      <selection activeCell="G22" sqref="G22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0.88671875" style="4" customWidth="1"/>
    <col min="6" max="6" width="38" style="4" customWidth="1"/>
    <col min="7" max="7" width="13.5546875" style="4" customWidth="1"/>
    <col min="8" max="16384" width="8.77734375" style="4"/>
  </cols>
  <sheetData>
    <row r="1" spans="2:8" s="1" customFormat="1" ht="116.25" customHeight="1">
      <c r="B1" s="2"/>
      <c r="C1" s="2"/>
      <c r="D1" s="2"/>
    </row>
    <row r="2" spans="2:8" s="1" customFormat="1" ht="116.25" customHeight="1">
      <c r="B2" s="2"/>
      <c r="C2" s="2"/>
      <c r="D2" s="2"/>
      <c r="E2" s="125" t="s">
        <v>69</v>
      </c>
      <c r="F2" s="125"/>
      <c r="G2" s="125"/>
      <c r="H2" s="125"/>
    </row>
    <row r="3" spans="2:8" ht="23.25" customHeight="1"/>
    <row r="4" spans="2:8" ht="23.25" customHeight="1">
      <c r="E4" s="119" t="s">
        <v>70</v>
      </c>
      <c r="F4" s="120"/>
      <c r="G4" s="120"/>
    </row>
    <row r="5" spans="2:8" s="3" customFormat="1" ht="50.1" customHeight="1">
      <c r="B5" s="9" t="s">
        <v>2</v>
      </c>
      <c r="C5" s="9" t="s">
        <v>3</v>
      </c>
      <c r="D5" s="9" t="s">
        <v>4</v>
      </c>
      <c r="E5" s="14" t="s">
        <v>5</v>
      </c>
      <c r="F5" s="14" t="s">
        <v>6</v>
      </c>
      <c r="G5" s="14" t="s">
        <v>7</v>
      </c>
    </row>
    <row r="6" spans="2:8" ht="24" customHeight="1">
      <c r="B6" s="3">
        <f>IFERROR((#REF!&lt;=#REF!)*(#REF!="")*RealceValor,0)</f>
        <v>0</v>
      </c>
      <c r="E6" s="20"/>
      <c r="F6" s="30" t="s">
        <v>71</v>
      </c>
      <c r="G6" s="20"/>
    </row>
    <row r="7" spans="2:8" ht="24" customHeight="1">
      <c r="B7" s="3">
        <f>IFERROR((#REF!&lt;=#REF!)*(#REF!="")*RealceValor,0)</f>
        <v>0</v>
      </c>
      <c r="E7" s="83">
        <v>90909</v>
      </c>
      <c r="F7" s="26" t="s">
        <v>72</v>
      </c>
      <c r="G7" s="28">
        <v>70</v>
      </c>
    </row>
    <row r="8" spans="2:8" ht="24" customHeight="1">
      <c r="B8" s="3">
        <f>IFERROR((#REF!&lt;=#REF!)*(#REF!="")*RealceValor,0)</f>
        <v>0</v>
      </c>
      <c r="E8" s="83">
        <v>90905</v>
      </c>
      <c r="F8" s="26" t="s">
        <v>73</v>
      </c>
      <c r="G8" s="28">
        <v>10</v>
      </c>
    </row>
    <row r="9" spans="2:8" ht="26.25" customHeight="1">
      <c r="B9" s="3">
        <f>IFERROR((#REF!&lt;=#REF!)*(#REF!="")*RealceValor,0)</f>
        <v>0</v>
      </c>
      <c r="E9" s="31">
        <v>78573</v>
      </c>
      <c r="F9" s="26" t="s">
        <v>74</v>
      </c>
      <c r="G9" s="36">
        <v>3</v>
      </c>
    </row>
    <row r="10" spans="2:8" ht="26.25" customHeight="1">
      <c r="B10" s="3">
        <f>IFERROR((#REF!&lt;=#REF!)*(#REF!="")*RealceValor,0)</f>
        <v>0</v>
      </c>
      <c r="E10" s="31">
        <v>78571</v>
      </c>
      <c r="F10" s="26" t="s">
        <v>53</v>
      </c>
      <c r="G10" s="36">
        <v>3</v>
      </c>
    </row>
    <row r="11" spans="2:8" ht="26.25" customHeight="1">
      <c r="B11" s="50">
        <f>IFERROR((#REF!&lt;=#REF!)*(#REF!="")*RealceValor,0)</f>
        <v>0</v>
      </c>
      <c r="E11" s="31" t="s">
        <v>75</v>
      </c>
      <c r="F11" s="26" t="s">
        <v>76</v>
      </c>
      <c r="G11" s="36">
        <v>2</v>
      </c>
    </row>
    <row r="12" spans="2:8" ht="26.25" customHeight="1">
      <c r="B12" s="3">
        <f>IFERROR((#REF!&lt;=#REF!)*(#REF!="")*RealceValor,0)</f>
        <v>0</v>
      </c>
      <c r="E12" s="31">
        <v>78572</v>
      </c>
      <c r="F12" s="26" t="s">
        <v>77</v>
      </c>
      <c r="G12" s="36">
        <v>5</v>
      </c>
    </row>
    <row r="13" spans="2:8" ht="24" customHeight="1">
      <c r="B13" s="3">
        <f>IFERROR((#REF!&lt;=#REF!)*(#REF!="")*RealceValor,0)</f>
        <v>0</v>
      </c>
      <c r="E13" s="31">
        <v>97999</v>
      </c>
      <c r="F13" s="26" t="s">
        <v>78</v>
      </c>
      <c r="G13" s="36">
        <v>1</v>
      </c>
    </row>
    <row r="14" spans="2:8" ht="24" customHeight="1">
      <c r="B14" s="3">
        <f>IFERROR((#REF!&lt;=#REF!)*(#REF!="")*RealceValor,0)</f>
        <v>0</v>
      </c>
      <c r="E14" s="31">
        <v>90906</v>
      </c>
      <c r="F14" s="26" t="s">
        <v>79</v>
      </c>
      <c r="G14" s="36">
        <v>1</v>
      </c>
    </row>
    <row r="15" spans="2:8" ht="24" customHeight="1">
      <c r="B15" s="3">
        <f>IFERROR((#REF!&lt;=#REF!)*(#REF!="")*RealceValor,0)</f>
        <v>0</v>
      </c>
      <c r="E15" s="31">
        <v>20236</v>
      </c>
      <c r="F15" s="26" t="s">
        <v>80</v>
      </c>
      <c r="G15" s="36">
        <v>2</v>
      </c>
    </row>
    <row r="16" spans="2:8" ht="24" customHeight="1">
      <c r="B16" s="3">
        <f>IFERROR((#REF!&lt;=#REF!)*(#REF!="")*RealceValor,0)</f>
        <v>0</v>
      </c>
      <c r="E16" s="31">
        <v>26481</v>
      </c>
      <c r="F16" s="26" t="s">
        <v>52</v>
      </c>
      <c r="G16" s="36">
        <v>3</v>
      </c>
    </row>
    <row r="17" spans="2:7" ht="24" customHeight="1">
      <c r="B17" s="3">
        <f>IFERROR((#REF!&lt;=#REF!)*(#REF!="")*RealceValor,0)</f>
        <v>0</v>
      </c>
      <c r="E17" s="31">
        <v>16573</v>
      </c>
      <c r="F17" s="26" t="s">
        <v>81</v>
      </c>
      <c r="G17" s="36">
        <v>12</v>
      </c>
    </row>
    <row r="18" spans="2:7" ht="24" customHeight="1">
      <c r="B18" s="3">
        <f>IFERROR((#REF!&lt;=#REF!)*(#REF!="")*RealceValor,0)</f>
        <v>0</v>
      </c>
      <c r="E18" s="31">
        <v>97304</v>
      </c>
      <c r="F18" s="26" t="s">
        <v>82</v>
      </c>
      <c r="G18" s="36">
        <v>12</v>
      </c>
    </row>
    <row r="19" spans="2:7" ht="24" customHeight="1">
      <c r="B19" s="3">
        <f>IFERROR((#REF!&lt;=#REF!)*(#REF!="")*RealceValor,0)</f>
        <v>0</v>
      </c>
      <c r="E19" s="31">
        <v>53254</v>
      </c>
      <c r="F19" s="26" t="s">
        <v>83</v>
      </c>
      <c r="G19" s="36">
        <v>50</v>
      </c>
    </row>
    <row r="20" spans="2:7" ht="24" customHeight="1">
      <c r="B20" s="3">
        <f>IFERROR((#REF!&lt;=#REF!)*(#REF!="")*RealceValor,0)</f>
        <v>0</v>
      </c>
      <c r="E20" s="31">
        <v>96283</v>
      </c>
      <c r="F20" s="26" t="s">
        <v>84</v>
      </c>
      <c r="G20" s="36">
        <v>2</v>
      </c>
    </row>
    <row r="21" spans="2:7" ht="24" customHeight="1">
      <c r="B21" s="3">
        <f>IFERROR((#REF!&lt;=#REF!)*(#REF!="")*RealceValor,0)</f>
        <v>0</v>
      </c>
      <c r="E21" s="80">
        <v>97768</v>
      </c>
      <c r="F21" s="81" t="s">
        <v>85</v>
      </c>
      <c r="G21" s="82">
        <v>5</v>
      </c>
    </row>
    <row r="22" spans="2:7" ht="24" customHeight="1">
      <c r="E22" s="32">
        <v>12263</v>
      </c>
      <c r="F22" s="33" t="s">
        <v>86</v>
      </c>
      <c r="G22" s="36">
        <v>50</v>
      </c>
    </row>
    <row r="23" spans="2:7" ht="24" customHeight="1">
      <c r="E23" s="32">
        <v>12239</v>
      </c>
      <c r="F23" s="33" t="s">
        <v>87</v>
      </c>
      <c r="G23" s="36">
        <v>50</v>
      </c>
    </row>
    <row r="24" spans="2:7" ht="24" customHeight="1">
      <c r="E24" s="32">
        <v>12262</v>
      </c>
      <c r="F24" s="33" t="s">
        <v>88</v>
      </c>
      <c r="G24" s="36">
        <v>50</v>
      </c>
    </row>
  </sheetData>
  <autoFilter ref="E5:G24" xr:uid="{7858CE02-FDF6-49A4-A25D-770B75A7EDEB}"/>
  <mergeCells count="2">
    <mergeCell ref="E4:G4"/>
    <mergeCell ref="E2:H2"/>
  </mergeCells>
  <conditionalFormatting sqref="F6 B6:D11">
    <cfRule type="expression" dxfId="221" priority="7">
      <formula>#REF!="Sim"</formula>
    </cfRule>
  </conditionalFormatting>
  <conditionalFormatting sqref="E8:F9">
    <cfRule type="expression" dxfId="220" priority="13">
      <formula>#REF!="Sim"</formula>
    </cfRule>
  </conditionalFormatting>
  <conditionalFormatting sqref="B12:D12">
    <cfRule type="expression" dxfId="219" priority="15">
      <formula>#REF!="Sim"</formula>
    </cfRule>
  </conditionalFormatting>
  <conditionalFormatting sqref="E8:F9 E21:F22">
    <cfRule type="expression" dxfId="218" priority="14">
      <formula>$B7=1</formula>
    </cfRule>
  </conditionalFormatting>
  <conditionalFormatting sqref="E7:G7">
    <cfRule type="expression" dxfId="217" priority="18">
      <formula>#REF!="Sim"</formula>
    </cfRule>
    <cfRule type="expression" dxfId="216" priority="19">
      <formula>#REF!=1</formula>
    </cfRule>
  </conditionalFormatting>
  <conditionalFormatting sqref="E13:G20 G21:G22">
    <cfRule type="expression" dxfId="215" priority="3">
      <formula>#REF!="Sim"</formula>
    </cfRule>
    <cfRule type="expression" dxfId="214" priority="4">
      <formula>$B12=1</formula>
    </cfRule>
  </conditionalFormatting>
  <conditionalFormatting sqref="F6 B6:D12">
    <cfRule type="expression" dxfId="213" priority="8">
      <formula>$B6=1</formula>
    </cfRule>
  </conditionalFormatting>
  <conditionalFormatting sqref="G8:G9">
    <cfRule type="expression" dxfId="212" priority="11">
      <formula>#REF!="Sim"</formula>
    </cfRule>
    <cfRule type="expression" dxfId="211" priority="12">
      <formula>#REF!=1</formula>
    </cfRule>
  </conditionalFormatting>
  <conditionalFormatting sqref="E10:G11 G23">
    <cfRule type="expression" dxfId="210" priority="464">
      <formula>#REF!="Sim"</formula>
    </cfRule>
    <cfRule type="expression" dxfId="209" priority="465">
      <formula>$B8=1</formula>
    </cfRule>
  </conditionalFormatting>
  <conditionalFormatting sqref="E9:G9">
    <cfRule type="expression" dxfId="208" priority="470">
      <formula>#REF!="Sim"</formula>
    </cfRule>
    <cfRule type="expression" dxfId="207" priority="471">
      <formula>$B10=1</formula>
    </cfRule>
  </conditionalFormatting>
  <conditionalFormatting sqref="E12:G12 G24">
    <cfRule type="expression" dxfId="206" priority="472">
      <formula>#REF!="Sim"</formula>
    </cfRule>
    <cfRule type="expression" dxfId="205" priority="473">
      <formula>$B9=1</formula>
    </cfRule>
  </conditionalFormatting>
  <conditionalFormatting sqref="E21:F24">
    <cfRule type="expression" dxfId="204" priority="1">
      <formula>$K21="Sim"</formula>
    </cfRule>
  </conditionalFormatting>
  <conditionalFormatting sqref="E24:F24">
    <cfRule type="expression" dxfId="203" priority="609">
      <formula>$B21=1</formula>
    </cfRule>
  </conditionalFormatting>
  <conditionalFormatting sqref="E23:F23">
    <cfRule type="expression" dxfId="202" priority="611">
      <formula>$B21=1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18201D13-C76F-4135-B855-0F1E78D92E30}"/>
    <dataValidation allowBlank="1" showInputMessage="1" showErrorMessage="1" prompt="Insira uma descrição do item nesta coluna" sqref="F5:F6" xr:uid="{1B913AF3-4149-4A2D-B188-ECFAEB9A099E}"/>
    <dataValidation allowBlank="1" showInputMessage="1" showErrorMessage="1" prompt="Insira a quantidade em estoque de cada item nesta coluna" sqref="G5:G6" xr:uid="{26059AE8-DAB8-43E4-AAA8-2BCC5DE1A9CF}"/>
    <dataValidation allowBlank="1" showInputMessage="1" showErrorMessage="1" prompt="Insira a ID de estoque do item nesta coluna" sqref="E5:E6" xr:uid="{23FDF18B-3A5B-4A95-A1D3-07025D17B805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5:D6" xr:uid="{B3C9A984-D623-4B4D-B243-AF52162F05A1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:A4" xr:uid="{38B289C6-2C70-46F5-8C50-02F5AF5F0022}"/>
  </dataValidations>
  <pageMargins left="0.25" right="0.25" top="0.75" bottom="0.75" header="0.3" footer="0.3"/>
  <pageSetup paperSize="9" scale="56" fitToHeight="0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FDA035BE-4BED-48D8-8AF8-49DEF41155B7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B6:D24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CE02-FDF6-49A4-A25D-770B75A7EDEB}">
  <sheetPr>
    <pageSetUpPr fitToPage="1"/>
  </sheetPr>
  <dimension ref="B1:M24"/>
  <sheetViews>
    <sheetView showGridLines="0" topLeftCell="A3" zoomScale="91" zoomScaleNormal="57" workbookViewId="0">
      <selection activeCell="G17" sqref="G17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9" style="6" customWidth="1"/>
    <col min="6" max="6" width="42.88671875" style="6" customWidth="1"/>
    <col min="7" max="7" width="8.4414062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3" width="11.44140625" style="92" customWidth="1"/>
    <col min="14" max="14" width="48.88671875" style="4" customWidth="1"/>
    <col min="15" max="16384" width="8.77734375" style="4"/>
  </cols>
  <sheetData>
    <row r="1" spans="2:13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33</v>
      </c>
      <c r="M1" s="91"/>
    </row>
    <row r="2" spans="2:13" s="1" customFormat="1" ht="84" customHeight="1">
      <c r="B2" s="2"/>
      <c r="C2" s="2"/>
      <c r="D2" s="2"/>
      <c r="E2" s="116" t="s">
        <v>89</v>
      </c>
      <c r="F2" s="116"/>
      <c r="G2" s="116"/>
      <c r="H2" s="116"/>
      <c r="I2" s="7"/>
      <c r="M2" s="91"/>
    </row>
    <row r="3" spans="2:13" ht="23.25" customHeight="1">
      <c r="E3" s="10"/>
      <c r="F3" s="10"/>
      <c r="G3" s="11"/>
      <c r="H3" s="11"/>
      <c r="I3" s="11"/>
      <c r="J3" s="12" t="s">
        <v>90</v>
      </c>
      <c r="K3" s="13" t="s">
        <v>91</v>
      </c>
    </row>
    <row r="4" spans="2:13" ht="23.25" customHeight="1">
      <c r="E4" s="126" t="s">
        <v>92</v>
      </c>
      <c r="F4" s="126"/>
      <c r="G4" s="126"/>
      <c r="H4" s="11"/>
      <c r="I4" s="11"/>
      <c r="J4" s="12"/>
      <c r="K4" s="13"/>
    </row>
    <row r="5" spans="2:13" s="3" customFormat="1" ht="50.1" customHeight="1">
      <c r="B5" s="9" t="s">
        <v>2</v>
      </c>
      <c r="C5" s="9" t="s">
        <v>3</v>
      </c>
      <c r="D5" s="9" t="s">
        <v>4</v>
      </c>
      <c r="E5" s="29" t="s">
        <v>5</v>
      </c>
      <c r="F5" s="29" t="s">
        <v>6</v>
      </c>
      <c r="G5" s="29" t="s">
        <v>7</v>
      </c>
      <c r="H5" s="9" t="s">
        <v>36</v>
      </c>
      <c r="I5" s="9" t="s">
        <v>37</v>
      </c>
      <c r="J5" s="9" t="s">
        <v>38</v>
      </c>
      <c r="K5" s="9" t="s">
        <v>39</v>
      </c>
      <c r="M5" s="92"/>
    </row>
    <row r="6" spans="2:13" ht="24" customHeight="1">
      <c r="B6" s="3">
        <f>IFERROR((#REF!&lt;=#REF!)*(#REF!="")*RealceValor,0)</f>
        <v>0</v>
      </c>
      <c r="E6" s="31"/>
      <c r="F6" s="30" t="s">
        <v>71</v>
      </c>
      <c r="G6" s="31"/>
    </row>
    <row r="7" spans="2:13" ht="26.25" customHeight="1">
      <c r="B7" s="3">
        <f>IFERROR((#REF!&lt;=#REF!)*(#REF!="")*RealceValor,0)</f>
        <v>0</v>
      </c>
      <c r="E7" s="87">
        <v>90909</v>
      </c>
      <c r="F7" s="86" t="s">
        <v>72</v>
      </c>
      <c r="G7" s="88">
        <v>70</v>
      </c>
      <c r="H7" s="39"/>
      <c r="I7" s="40"/>
      <c r="J7" s="39"/>
      <c r="K7" s="41"/>
      <c r="L7" s="42"/>
    </row>
    <row r="8" spans="2:13" ht="24" customHeight="1">
      <c r="B8" s="3">
        <f>IFERROR((#REF!&lt;=#REF!)*(#REF!="")*RealceValor,0)</f>
        <v>0</v>
      </c>
      <c r="E8" s="87">
        <v>26481</v>
      </c>
      <c r="F8" s="86" t="s">
        <v>52</v>
      </c>
      <c r="G8" s="88">
        <v>3</v>
      </c>
    </row>
    <row r="9" spans="2:13" ht="24" customHeight="1">
      <c r="B9" s="3">
        <f>IFERROR((#REF!&lt;=#REF!)*(#REF!="")*RealceValor,0)</f>
        <v>0</v>
      </c>
      <c r="E9" s="87">
        <v>90906</v>
      </c>
      <c r="F9" s="86" t="s">
        <v>79</v>
      </c>
      <c r="G9" s="88">
        <v>1</v>
      </c>
    </row>
    <row r="10" spans="2:13" ht="24" customHeight="1">
      <c r="B10" s="3">
        <f>IFERROR((#REF!&lt;=#REF!)*(#REF!="")*RealceValor,0)</f>
        <v>0</v>
      </c>
      <c r="E10" s="87">
        <v>16573</v>
      </c>
      <c r="F10" s="86" t="s">
        <v>81</v>
      </c>
      <c r="G10" s="88">
        <v>12</v>
      </c>
    </row>
    <row r="11" spans="2:13" ht="24" customHeight="1">
      <c r="B11" s="3">
        <f>IFERROR((#REF!&lt;=#REF!)*(#REF!="")*RealceValor,0)</f>
        <v>0</v>
      </c>
      <c r="E11" s="87">
        <v>90905</v>
      </c>
      <c r="F11" s="86" t="s">
        <v>73</v>
      </c>
      <c r="G11" s="88">
        <v>10</v>
      </c>
      <c r="H11" s="39"/>
      <c r="I11" s="39"/>
      <c r="J11" s="39"/>
      <c r="K11" s="41"/>
    </row>
    <row r="12" spans="2:13" ht="24" customHeight="1">
      <c r="B12" s="3">
        <f>IFERROR((#REF!&lt;=#REF!)*(#REF!="")*RealceValor,0)</f>
        <v>0</v>
      </c>
      <c r="E12" s="87">
        <v>20236</v>
      </c>
      <c r="F12" s="86" t="s">
        <v>80</v>
      </c>
      <c r="G12" s="88">
        <v>2</v>
      </c>
    </row>
    <row r="13" spans="2:13" ht="24" customHeight="1">
      <c r="B13" s="3">
        <f>IFERROR((#REF!&lt;=#REF!)*(#REF!="")*RealceValor,0)</f>
        <v>0</v>
      </c>
      <c r="E13" s="87">
        <v>96283</v>
      </c>
      <c r="F13" s="86" t="s">
        <v>84</v>
      </c>
      <c r="G13" s="88">
        <v>2</v>
      </c>
    </row>
    <row r="14" spans="2:13" ht="24" customHeight="1">
      <c r="B14" s="3">
        <f>IFERROR((#REF!&lt;=#REF!)*(#REF!="")*RealceValor,0)</f>
        <v>0</v>
      </c>
      <c r="E14" s="87">
        <v>97304</v>
      </c>
      <c r="F14" s="86" t="s">
        <v>82</v>
      </c>
      <c r="G14" s="88">
        <v>10</v>
      </c>
    </row>
    <row r="15" spans="2:13" ht="24" customHeight="1">
      <c r="B15" s="3">
        <f>IFERROR((#REF!&lt;=#REF!)*(#REF!="")*RealceValor,0)</f>
        <v>0</v>
      </c>
      <c r="E15" s="87">
        <v>97999</v>
      </c>
      <c r="F15" s="86" t="s">
        <v>78</v>
      </c>
      <c r="G15" s="88">
        <v>1</v>
      </c>
    </row>
    <row r="16" spans="2:13" ht="24" customHeight="1">
      <c r="B16" s="50">
        <f>IFERROR((#REF!&lt;=#REF!)*(#REF!="")*RealceValor,0)</f>
        <v>0</v>
      </c>
      <c r="E16" s="89">
        <v>97768</v>
      </c>
      <c r="F16" s="85" t="s">
        <v>85</v>
      </c>
      <c r="G16" s="88">
        <v>5</v>
      </c>
      <c r="H16" s="53"/>
      <c r="I16" s="53"/>
      <c r="J16" s="53"/>
      <c r="K16" s="54"/>
    </row>
    <row r="17" spans="2:12" ht="24" customHeight="1">
      <c r="B17" s="3">
        <f>IFERROR((#REF!&lt;=#REF!)*(#REF!="")*RealceValor,0)</f>
        <v>0</v>
      </c>
      <c r="E17" s="87" t="s">
        <v>93</v>
      </c>
      <c r="F17" s="86" t="s">
        <v>76</v>
      </c>
      <c r="G17" s="88">
        <v>2</v>
      </c>
      <c r="H17" s="39"/>
      <c r="I17" s="39"/>
      <c r="J17" s="39"/>
      <c r="K17" s="41"/>
      <c r="L17" s="42"/>
    </row>
    <row r="18" spans="2:12" ht="24" customHeight="1">
      <c r="E18" s="89">
        <v>12263</v>
      </c>
      <c r="F18" s="85" t="s">
        <v>94</v>
      </c>
      <c r="G18" s="88">
        <v>50</v>
      </c>
    </row>
    <row r="19" spans="2:12" ht="24" customHeight="1">
      <c r="E19" s="89">
        <v>12239</v>
      </c>
      <c r="F19" s="85" t="s">
        <v>95</v>
      </c>
      <c r="G19" s="88">
        <v>50</v>
      </c>
    </row>
    <row r="20" spans="2:12" ht="24" customHeight="1">
      <c r="E20" s="89">
        <v>12262</v>
      </c>
      <c r="F20" s="85" t="s">
        <v>88</v>
      </c>
      <c r="G20" s="88">
        <v>50</v>
      </c>
    </row>
    <row r="21" spans="2:12" ht="24" customHeight="1">
      <c r="E21" s="87">
        <v>78571</v>
      </c>
      <c r="F21" s="86" t="s">
        <v>53</v>
      </c>
      <c r="G21" s="88">
        <v>3</v>
      </c>
    </row>
    <row r="22" spans="2:12" ht="24" customHeight="1">
      <c r="E22" s="87">
        <v>78572</v>
      </c>
      <c r="F22" s="86" t="s">
        <v>77</v>
      </c>
      <c r="G22" s="88">
        <v>5</v>
      </c>
    </row>
    <row r="23" spans="2:12" ht="24" customHeight="1">
      <c r="E23" s="87">
        <v>78573</v>
      </c>
      <c r="F23" s="86" t="s">
        <v>74</v>
      </c>
      <c r="G23" s="88">
        <v>3</v>
      </c>
    </row>
    <row r="24" spans="2:12" ht="24" customHeight="1">
      <c r="E24" s="87">
        <v>53254</v>
      </c>
      <c r="F24" s="84" t="s">
        <v>83</v>
      </c>
      <c r="G24" s="90">
        <v>50</v>
      </c>
    </row>
  </sheetData>
  <mergeCells count="2">
    <mergeCell ref="E4:G4"/>
    <mergeCell ref="E2:H2"/>
  </mergeCells>
  <conditionalFormatting sqref="B17:D17 B7:D7">
    <cfRule type="expression" dxfId="193" priority="363">
      <formula>$B7=1</formula>
    </cfRule>
  </conditionalFormatting>
  <conditionalFormatting sqref="B17:D17">
    <cfRule type="expression" dxfId="192" priority="362">
      <formula>#REF!="Sim"</formula>
    </cfRule>
  </conditionalFormatting>
  <conditionalFormatting sqref="B6:D6 F6 H6:K6">
    <cfRule type="expression" dxfId="191" priority="71">
      <formula>$K6="Sim"</formula>
    </cfRule>
    <cfRule type="expression" dxfId="190" priority="72">
      <formula>$B6=1</formula>
    </cfRule>
  </conditionalFormatting>
  <conditionalFormatting sqref="E21:G21">
    <cfRule type="expression" dxfId="189" priority="421">
      <formula>#REF!=1</formula>
    </cfRule>
  </conditionalFormatting>
  <conditionalFormatting sqref="E17:K17 E7:K7">
    <cfRule type="expression" dxfId="188" priority="358">
      <formula>$K7="Sim"</formula>
    </cfRule>
  </conditionalFormatting>
  <conditionalFormatting sqref="E7:K7 E9:G9">
    <cfRule type="expression" dxfId="187" priority="359">
      <formula>#REF!=1</formula>
    </cfRule>
  </conditionalFormatting>
  <conditionalFormatting sqref="E6">
    <cfRule type="expression" dxfId="186" priority="32">
      <formula>#REF!=1</formula>
    </cfRule>
  </conditionalFormatting>
  <conditionalFormatting sqref="E6">
    <cfRule type="expression" dxfId="185" priority="31">
      <formula>$K6="Sim"</formula>
    </cfRule>
  </conditionalFormatting>
  <conditionalFormatting sqref="G6">
    <cfRule type="expression" dxfId="184" priority="30">
      <formula>#REF!=1</formula>
    </cfRule>
  </conditionalFormatting>
  <conditionalFormatting sqref="G6">
    <cfRule type="expression" dxfId="183" priority="29">
      <formula>$K6="Sim"</formula>
    </cfRule>
  </conditionalFormatting>
  <conditionalFormatting sqref="E22:G23">
    <cfRule type="expression" dxfId="182" priority="20">
      <formula>#REF!=1</formula>
    </cfRule>
  </conditionalFormatting>
  <conditionalFormatting sqref="G16 E10:G15">
    <cfRule type="expression" dxfId="181" priority="16">
      <formula>$B9=1</formula>
    </cfRule>
  </conditionalFormatting>
  <conditionalFormatting sqref="E7:G7">
    <cfRule type="expression" dxfId="180" priority="24">
      <formula>#REF!=1</formula>
    </cfRule>
  </conditionalFormatting>
  <conditionalFormatting sqref="E23:G24">
    <cfRule type="expression" dxfId="179" priority="26">
      <formula>$B7=1</formula>
    </cfRule>
  </conditionalFormatting>
  <conditionalFormatting sqref="E8:G8">
    <cfRule type="expression" dxfId="178" priority="28">
      <formula>#REF!=1</formula>
    </cfRule>
  </conditionalFormatting>
  <conditionalFormatting sqref="E16">
    <cfRule type="expression" dxfId="177" priority="13">
      <formula>$K16="Sim"</formula>
    </cfRule>
  </conditionalFormatting>
  <conditionalFormatting sqref="E16">
    <cfRule type="expression" dxfId="176" priority="14">
      <formula>$B15=1</formula>
    </cfRule>
  </conditionalFormatting>
  <conditionalFormatting sqref="B7:D7">
    <cfRule type="expression" dxfId="175" priority="583">
      <formula>$K17="Sim"</formula>
    </cfRule>
  </conditionalFormatting>
  <conditionalFormatting sqref="E17:K17">
    <cfRule type="expression" dxfId="174" priority="589">
      <formula>$B7=1</formula>
    </cfRule>
  </conditionalFormatting>
  <conditionalFormatting sqref="E17:G17">
    <cfRule type="expression" dxfId="173" priority="591">
      <formula>#REF!=1</formula>
    </cfRule>
  </conditionalFormatting>
  <conditionalFormatting sqref="F16">
    <cfRule type="expression" dxfId="172" priority="11">
      <formula>$K16="Sim"</formula>
    </cfRule>
  </conditionalFormatting>
  <conditionalFormatting sqref="F16">
    <cfRule type="expression" dxfId="171" priority="12">
      <formula>$B15=1</formula>
    </cfRule>
  </conditionalFormatting>
  <conditionalFormatting sqref="E18:F18">
    <cfRule type="expression" dxfId="170" priority="4">
      <formula>$B17=1</formula>
    </cfRule>
  </conditionalFormatting>
  <conditionalFormatting sqref="G18">
    <cfRule type="expression" dxfId="169" priority="3">
      <formula>$B17=1</formula>
    </cfRule>
  </conditionalFormatting>
  <conditionalFormatting sqref="G19">
    <cfRule type="expression" dxfId="168" priority="6">
      <formula>$B17=1</formula>
    </cfRule>
  </conditionalFormatting>
  <conditionalFormatting sqref="G20">
    <cfRule type="expression" dxfId="167" priority="8">
      <formula>$B17=1</formula>
    </cfRule>
  </conditionalFormatting>
  <conditionalFormatting sqref="E18:F20">
    <cfRule type="expression" dxfId="166" priority="1">
      <formula>$K18="Sim"</formula>
    </cfRule>
  </conditionalFormatting>
  <conditionalFormatting sqref="E20:F20">
    <cfRule type="expression" dxfId="165" priority="9">
      <formula>$B17=1</formula>
    </cfRule>
  </conditionalFormatting>
  <conditionalFormatting sqref="E19:F19">
    <cfRule type="expression" dxfId="164" priority="10">
      <formula>$B17=1</formula>
    </cfRule>
  </conditionalFormatting>
  <conditionalFormatting sqref="E21:G23">
    <cfRule type="expression" dxfId="163" priority="633">
      <formula>#REF!="Sim"</formula>
    </cfRule>
  </conditionalFormatting>
  <dataValidations count="12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:A4" xr:uid="{BAD54805-9AFC-4B84-87DB-9D029DC7AE21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5:D6" xr:uid="{3AD8FD56-4493-4771-82AC-237E762C10C4}"/>
    <dataValidation allowBlank="1" showInputMessage="1" showErrorMessage="1" prompt="Insira a ID de estoque do item nesta coluna" sqref="E5" xr:uid="{7EF63476-CD19-416F-8E6A-02DBCB478C2E}"/>
    <dataValidation allowBlank="1" showInputMessage="1" showErrorMessage="1" prompt="Insira sim se o item tiver sido descontinuado. Ao inserir Sim, a linha correspondente é realçada em cinza claro e o estilo da fonte é alterado para Tachado" sqref="K5:K6" xr:uid="{2683A722-4911-4F08-AD33-90313A127F38}"/>
    <dataValidation allowBlank="1" showInputMessage="1" showErrorMessage="1" prompt="Insira a quantidade a encomendar de cada item nesta coluna" sqref="J5:J6" xr:uid="{81245ACC-0AD1-4CE6-B4CB-F1D55E480F98}"/>
    <dataValidation allowBlank="1" showInputMessage="1" showErrorMessage="1" prompt="Insira quantos dias faltam para realizar nova encomenda de cada item nesta coluna" sqref="I5:I6" xr:uid="{9C57305A-C92C-4183-8761-D02CF6E7C9A4}"/>
    <dataValidation allowBlank="1" showInputMessage="1" showErrorMessage="1" prompt="Insira o nível de estoque de cada item nesta coluna" sqref="H5:H6" xr:uid="{1CF3CE32-9580-4BBC-9C0D-33C8E7667548}"/>
    <dataValidation allowBlank="1" showInputMessage="1" showErrorMessage="1" prompt="Insira a quantidade em estoque de cada item nesta coluna" sqref="G5" xr:uid="{31B9C81F-0AE5-401D-BA00-F92F03325101}"/>
    <dataValidation allowBlank="1" showInputMessage="1" showErrorMessage="1" prompt="Insira uma descrição do item nesta coluna" sqref="F5:F6" xr:uid="{AA4594C5-9248-4DD2-AC9F-0C5387E3BA55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:K4" xr:uid="{67BB63B4-E305-48CA-8EE3-565A249A73F3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10D4B79B-5F97-40E7-AD2F-FF0CEF201D98}"/>
    <dataValidation type="list" allowBlank="1" showInputMessage="1" showErrorMessage="1" sqref="K17 K6:K7" xr:uid="{ACEBC104-4427-4A28-8B85-FC219973F457}">
      <formula1>"Sim"</formula1>
    </dataValidation>
  </dataValidations>
  <pageMargins left="0.25" right="0.25" top="0.75" bottom="0.75" header="0.3" footer="0.3"/>
  <pageSetup paperSize="9" scale="56" fitToHeight="0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2BEFFB46-867E-44DC-8633-0BA6E5B4539A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E22:F23 E7:G7 E17:G17 E9:G15 E24:G24</xm:sqref>
        </x14:conditionalFormatting>
        <x14:conditionalFormatting xmlns:xm="http://schemas.microsoft.com/office/excel/2006/main">
          <x14:cfRule type="expression" priority="21" id="{A072C88C-F166-4AF1-A745-8E35DB4845BB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14:cfRule type="expression" priority="22" id="{8E08708B-389D-47CE-9CEC-81EA77A8A234}">
            <xm:f>'Kit Preparação e 1° Demão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E21:G21</xm:sqref>
        </x14:conditionalFormatting>
        <x14:conditionalFormatting xmlns:xm="http://schemas.microsoft.com/office/excel/2006/main">
          <x14:cfRule type="expression" priority="15" id="{C72530FA-A0D8-45C6-BAB3-6358B7BCDAFF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G16</xm:sqref>
        </x14:conditionalFormatting>
        <x14:conditionalFormatting xmlns:xm="http://schemas.microsoft.com/office/excel/2006/main">
          <x14:cfRule type="expression" priority="17" id="{9ABBCBDA-8DEE-4115-A0F6-44F1AE8296DA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14:cfRule type="expression" priority="18" id="{31CFDB98-F05C-4BFE-8561-CBB6306FA48D}">
            <xm:f>'Kit Preparação e 1° Demão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G22:G23</xm:sqref>
        </x14:conditionalFormatting>
        <x14:conditionalFormatting xmlns:xm="http://schemas.microsoft.com/office/excel/2006/main">
          <x14:cfRule type="expression" priority="25" id="{CC10EDAA-3097-4607-BD9A-A71D26FE3A88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E23:G23</xm:sqref>
        </x14:conditionalFormatting>
        <x14:conditionalFormatting xmlns:xm="http://schemas.microsoft.com/office/excel/2006/main">
          <x14:cfRule type="expression" priority="27" id="{9A1E2AB0-9880-430E-9DD3-5A55346BC443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E8:G8</xm:sqref>
        </x14:conditionalFormatting>
        <x14:conditionalFormatting xmlns:xm="http://schemas.microsoft.com/office/excel/2006/main">
          <x14:cfRule type="expression" priority="2" id="{D243CFE2-0DAD-4BBD-A81D-730EE4D03F30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G18</xm:sqref>
        </x14:conditionalFormatting>
        <x14:conditionalFormatting xmlns:xm="http://schemas.microsoft.com/office/excel/2006/main">
          <x14:cfRule type="expression" priority="5" id="{7D39865E-44A0-4B2D-8513-A94316546BBF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G19</xm:sqref>
        </x14:conditionalFormatting>
        <x14:conditionalFormatting xmlns:xm="http://schemas.microsoft.com/office/excel/2006/main">
          <x14:cfRule type="expression" priority="7" id="{402613DC-363F-4678-97F2-62F2FE4980B7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G20</xm:sqref>
        </x14:conditionalFormatting>
        <x14:conditionalFormatting xmlns:xm="http://schemas.microsoft.com/office/excel/2006/main">
          <x14:cfRule type="iconSet" priority="638" id="{40E5EAF4-1F04-4A17-9DF9-44C0D82DD072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B6:D17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B5D7-B190-4F95-8330-6D07D632C16A}">
  <sheetPr>
    <pageSetUpPr fitToPage="1"/>
  </sheetPr>
  <dimension ref="A1:M20"/>
  <sheetViews>
    <sheetView showGridLines="0" topLeftCell="A4" zoomScaleNormal="100" workbookViewId="0">
      <selection activeCell="L16" sqref="L16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0.88671875" style="8" hidden="1" customWidth="1"/>
    <col min="6" max="6" width="12.77734375" style="8" hidden="1" customWidth="1"/>
    <col min="7" max="7" width="14.33203125" style="8" hidden="1" customWidth="1"/>
    <col min="8" max="8" width="7.6640625" style="6" hidden="1" customWidth="1"/>
    <col min="9" max="9" width="1.77734375" style="4" customWidth="1"/>
    <col min="10" max="10" width="9.44140625" style="4" customWidth="1"/>
    <col min="11" max="11" width="48.77734375" style="4" customWidth="1"/>
    <col min="12" max="12" width="7" style="4" customWidth="1"/>
    <col min="13" max="16384" width="8.77734375" style="4"/>
  </cols>
  <sheetData>
    <row r="1" spans="1:13" s="1" customFormat="1" ht="116.25" customHeight="1">
      <c r="B1" s="2"/>
      <c r="C1" s="2"/>
      <c r="D1" s="2"/>
      <c r="E1" s="7"/>
      <c r="F1" s="7"/>
      <c r="I1" s="1" t="s">
        <v>33</v>
      </c>
    </row>
    <row r="2" spans="1:13" s="1" customFormat="1" ht="116.25" customHeight="1">
      <c r="B2" s="2"/>
      <c r="C2" s="2"/>
      <c r="D2" s="2"/>
      <c r="E2" s="7"/>
      <c r="F2" s="7"/>
      <c r="J2" s="127" t="s">
        <v>96</v>
      </c>
      <c r="K2" s="127"/>
      <c r="L2" s="127"/>
      <c r="M2" s="45"/>
    </row>
    <row r="3" spans="1:13" ht="23.25" customHeight="1">
      <c r="E3" s="11"/>
      <c r="F3" s="11"/>
      <c r="G3" s="12" t="s">
        <v>90</v>
      </c>
      <c r="H3" s="13" t="s">
        <v>91</v>
      </c>
    </row>
    <row r="4" spans="1:13" ht="23.25" customHeight="1">
      <c r="E4" s="11"/>
      <c r="F4" s="11"/>
      <c r="G4" s="12"/>
      <c r="H4" s="13"/>
      <c r="J4" s="119" t="s">
        <v>97</v>
      </c>
      <c r="K4" s="120"/>
      <c r="L4" s="120"/>
    </row>
    <row r="5" spans="1:13" s="3" customFormat="1" ht="27">
      <c r="B5" s="9" t="s">
        <v>2</v>
      </c>
      <c r="C5" s="9" t="s">
        <v>3</v>
      </c>
      <c r="D5" s="9" t="s">
        <v>4</v>
      </c>
      <c r="E5" s="9" t="s">
        <v>36</v>
      </c>
      <c r="F5" s="9" t="s">
        <v>37</v>
      </c>
      <c r="G5" s="9" t="s">
        <v>38</v>
      </c>
      <c r="H5" s="9" t="s">
        <v>39</v>
      </c>
      <c r="J5" s="19" t="s">
        <v>5</v>
      </c>
      <c r="K5" s="19" t="s">
        <v>6</v>
      </c>
      <c r="L5" s="19" t="s">
        <v>7</v>
      </c>
    </row>
    <row r="6" spans="1:13" ht="15.75">
      <c r="B6" s="3">
        <f>IFERROR((#REF!&lt;=#REF!)*(#REF!="")*RealceValor,0)</f>
        <v>0</v>
      </c>
      <c r="J6" s="62"/>
      <c r="K6" s="63" t="s">
        <v>71</v>
      </c>
      <c r="L6" s="62"/>
    </row>
    <row r="7" spans="1:13" s="3" customFormat="1" ht="15.75">
      <c r="A7" s="4"/>
      <c r="B7" s="3">
        <f>IFERROR((#REF!&lt;=#REF!)*(#REF!="")*RealceValor,0)</f>
        <v>0</v>
      </c>
      <c r="E7" s="39"/>
      <c r="F7" s="39"/>
      <c r="G7" s="39"/>
      <c r="H7" s="41"/>
      <c r="I7" s="42"/>
      <c r="J7" s="64">
        <v>53254</v>
      </c>
      <c r="K7" s="65" t="s">
        <v>98</v>
      </c>
      <c r="L7" s="66">
        <v>20</v>
      </c>
    </row>
    <row r="8" spans="1:13" s="3" customFormat="1" ht="15.75">
      <c r="A8" s="4"/>
      <c r="B8" s="3">
        <f>IFERROR((#REF!&lt;=#REF!)*(#REF!="")*RealceValor,0)</f>
        <v>0</v>
      </c>
      <c r="E8" s="39"/>
      <c r="F8" s="39"/>
      <c r="G8" s="39"/>
      <c r="H8" s="41"/>
      <c r="I8" s="42"/>
      <c r="J8" s="64">
        <v>85934</v>
      </c>
      <c r="K8" s="65" t="s">
        <v>99</v>
      </c>
      <c r="L8" s="66">
        <v>20</v>
      </c>
    </row>
    <row r="9" spans="1:13" s="3" customFormat="1" ht="15.75">
      <c r="A9" s="4"/>
      <c r="B9" s="3">
        <f>IFERROR((#REF!&lt;=#REF!)*(#REF!="")*RealceValor,0)</f>
        <v>0</v>
      </c>
      <c r="E9" s="39"/>
      <c r="F9" s="39"/>
      <c r="G9" s="39"/>
      <c r="H9" s="41"/>
      <c r="I9" s="42"/>
      <c r="J9" s="64">
        <v>88550</v>
      </c>
      <c r="K9" s="65" t="s">
        <v>100</v>
      </c>
      <c r="L9" s="66">
        <v>20</v>
      </c>
    </row>
    <row r="10" spans="1:13" s="3" customFormat="1" ht="15.75">
      <c r="A10" s="4"/>
      <c r="B10" s="3">
        <f>IFERROR((#REF!&lt;=#REF!)*(#REF!="")*RealceValor,0)</f>
        <v>0</v>
      </c>
      <c r="E10" s="39"/>
      <c r="F10" s="39"/>
      <c r="G10" s="39"/>
      <c r="H10" s="41"/>
      <c r="I10" s="42"/>
      <c r="J10" s="64">
        <v>31821</v>
      </c>
      <c r="K10" s="65" t="s">
        <v>101</v>
      </c>
      <c r="L10" s="66">
        <v>12</v>
      </c>
    </row>
    <row r="11" spans="1:13" s="3" customFormat="1" ht="15.75">
      <c r="A11" s="4"/>
      <c r="B11" s="3">
        <f>IFERROR((#REF!&lt;=#REF!)*(#REF!="")*RealceValor,0)</f>
        <v>0</v>
      </c>
      <c r="E11" s="39"/>
      <c r="F11" s="39"/>
      <c r="G11" s="39"/>
      <c r="H11" s="41"/>
      <c r="I11" s="42"/>
      <c r="J11" s="64">
        <v>96281</v>
      </c>
      <c r="K11" s="65" t="s">
        <v>102</v>
      </c>
      <c r="L11" s="66">
        <v>10</v>
      </c>
    </row>
    <row r="12" spans="1:13" s="3" customFormat="1" ht="15.75">
      <c r="A12" s="4"/>
      <c r="B12" s="3">
        <f>IFERROR((#REF!&lt;=#REF!)*(#REF!="")*RealceValor,0)</f>
        <v>0</v>
      </c>
      <c r="E12" s="39"/>
      <c r="F12" s="39"/>
      <c r="G12" s="39"/>
      <c r="H12" s="41"/>
      <c r="I12" s="42"/>
      <c r="J12" s="64">
        <v>96283</v>
      </c>
      <c r="K12" s="65" t="s">
        <v>103</v>
      </c>
      <c r="L12" s="66">
        <v>20</v>
      </c>
    </row>
    <row r="13" spans="1:13" s="3" customFormat="1" ht="15.75">
      <c r="A13" s="4"/>
      <c r="B13" s="3">
        <f>IFERROR((#REF!&lt;=#REF!)*(#REF!="")*RealceValor,0)</f>
        <v>0</v>
      </c>
      <c r="E13" s="39"/>
      <c r="F13" s="39"/>
      <c r="G13" s="39"/>
      <c r="H13" s="41"/>
      <c r="I13" s="42"/>
      <c r="J13" s="64">
        <v>97304</v>
      </c>
      <c r="K13" s="65" t="s">
        <v>104</v>
      </c>
      <c r="L13" s="66">
        <v>16</v>
      </c>
    </row>
    <row r="14" spans="1:13" s="3" customFormat="1" ht="15.75">
      <c r="A14" s="4"/>
      <c r="B14" s="3">
        <f>IFERROR((#REF!&lt;=#REF!)*(#REF!="")*RealceValor,0)</f>
        <v>0</v>
      </c>
      <c r="E14" s="39"/>
      <c r="F14" s="39"/>
      <c r="G14" s="39"/>
      <c r="H14" s="41"/>
      <c r="I14" s="42"/>
      <c r="J14" s="64">
        <v>19457</v>
      </c>
      <c r="K14" s="65" t="s">
        <v>105</v>
      </c>
      <c r="L14" s="66">
        <v>8</v>
      </c>
    </row>
    <row r="15" spans="1:13" ht="15.75">
      <c r="B15" s="50">
        <f>IFERROR((#REF!&lt;=#REF!)*(#REF!="")*RealceValor,0)</f>
        <v>0</v>
      </c>
      <c r="E15" s="67"/>
      <c r="F15" s="67"/>
      <c r="G15" s="67"/>
      <c r="H15" s="68"/>
      <c r="I15" s="42"/>
      <c r="J15" s="64">
        <v>78572</v>
      </c>
      <c r="K15" s="65" t="s">
        <v>77</v>
      </c>
      <c r="L15" s="66">
        <v>5</v>
      </c>
    </row>
    <row r="16" spans="1:13" ht="15.75">
      <c r="B16" s="3">
        <f>IFERROR((#REF!&lt;=#REF!)*(#REF!="")*RealceValor,0)</f>
        <v>0</v>
      </c>
      <c r="E16" s="39"/>
      <c r="F16" s="39"/>
      <c r="G16" s="39"/>
      <c r="H16" s="41"/>
      <c r="I16" s="42"/>
      <c r="J16" s="64">
        <v>97768</v>
      </c>
      <c r="K16" s="65" t="s">
        <v>85</v>
      </c>
      <c r="L16" s="66">
        <v>14</v>
      </c>
    </row>
    <row r="17" spans="2:12" ht="15.75">
      <c r="B17" s="3">
        <f>IFERROR((#REF!&lt;=#REF!)*(#REF!="")*RealceValor,0)</f>
        <v>0</v>
      </c>
      <c r="E17" s="39"/>
      <c r="F17" s="39"/>
      <c r="G17" s="39"/>
      <c r="H17" s="41"/>
      <c r="I17" s="42"/>
      <c r="J17" s="64">
        <v>95501</v>
      </c>
      <c r="K17" s="65" t="s">
        <v>106</v>
      </c>
      <c r="L17" s="66">
        <v>4</v>
      </c>
    </row>
    <row r="18" spans="2:12" ht="15.75">
      <c r="B18" s="3">
        <f>IFERROR((#REF!&lt;=#REF!)*(#REF!="")*RealceValor,0)</f>
        <v>0</v>
      </c>
      <c r="E18" s="39"/>
      <c r="F18" s="39"/>
      <c r="G18" s="39"/>
      <c r="H18" s="41"/>
      <c r="I18" s="42"/>
      <c r="J18" s="64">
        <v>98001</v>
      </c>
      <c r="K18" s="65" t="s">
        <v>107</v>
      </c>
      <c r="L18" s="66">
        <v>2</v>
      </c>
    </row>
    <row r="19" spans="2:12" ht="15.75">
      <c r="B19" s="3">
        <f>IFERROR((#REF!&lt;=#REF!)*(#REF!="")*RealceValor,0)</f>
        <v>0</v>
      </c>
      <c r="E19" s="39"/>
      <c r="F19" s="39"/>
      <c r="G19" s="39"/>
      <c r="H19" s="41"/>
      <c r="I19" s="42"/>
      <c r="J19" s="64">
        <v>30563</v>
      </c>
      <c r="K19" s="65" t="s">
        <v>108</v>
      </c>
      <c r="L19" s="66">
        <v>1</v>
      </c>
    </row>
    <row r="20" spans="2:12" ht="15.75">
      <c r="B20" s="3">
        <f>IFERROR((#REF!&lt;=#REF!)*(#REF!="")*RealceValor,0)</f>
        <v>0</v>
      </c>
      <c r="E20" s="39"/>
      <c r="F20" s="39"/>
      <c r="G20" s="39"/>
      <c r="H20" s="41"/>
      <c r="I20" s="42"/>
      <c r="J20" s="64" t="s">
        <v>75</v>
      </c>
      <c r="K20" s="65" t="s">
        <v>76</v>
      </c>
      <c r="L20" s="66">
        <v>3</v>
      </c>
    </row>
  </sheetData>
  <autoFilter ref="J5:L20" xr:uid="{E39CB5D7-B190-4F95-8330-6D07D632C16A}"/>
  <mergeCells count="2">
    <mergeCell ref="J4:L4"/>
    <mergeCell ref="J2:L2"/>
  </mergeCells>
  <conditionalFormatting sqref="B7:D13 B16:D18">
    <cfRule type="expression" dxfId="130" priority="344">
      <formula>$H8="Sim"</formula>
    </cfRule>
  </conditionalFormatting>
  <conditionalFormatting sqref="B7:D20">
    <cfRule type="expression" dxfId="129" priority="343">
      <formula>$B7=1</formula>
    </cfRule>
  </conditionalFormatting>
  <conditionalFormatting sqref="B6:H6 K6">
    <cfRule type="expression" dxfId="128" priority="442">
      <formula>$H6="Sim"</formula>
    </cfRule>
    <cfRule type="expression" dxfId="127" priority="443">
      <formula>$B6=1</formula>
    </cfRule>
  </conditionalFormatting>
  <conditionalFormatting sqref="E7:H7 J7:L7 E15:H15 E20:H20 J15:L15 J20:L20">
    <cfRule type="expression" dxfId="126" priority="358">
      <formula>#REF!=1</formula>
    </cfRule>
  </conditionalFormatting>
  <conditionalFormatting sqref="E7:H20 J7:L20">
    <cfRule type="expression" dxfId="125" priority="346">
      <formula>$H7="Sim"</formula>
    </cfRule>
  </conditionalFormatting>
  <conditionalFormatting sqref="E8:H14 J8:L14 E17:H20 J17:L20">
    <cfRule type="expression" dxfId="124" priority="347">
      <formula>$B7=1</formula>
    </cfRule>
  </conditionalFormatting>
  <conditionalFormatting sqref="B14:D14">
    <cfRule type="expression" dxfId="123" priority="478">
      <formula>#REF!="Sim"</formula>
    </cfRule>
  </conditionalFormatting>
  <conditionalFormatting sqref="B15:D15">
    <cfRule type="expression" dxfId="122" priority="492">
      <formula>$H17="Sim"</formula>
    </cfRule>
  </conditionalFormatting>
  <conditionalFormatting sqref="B19:D19">
    <cfRule type="expression" dxfId="121" priority="554">
      <formula>#REF!="Sim"</formula>
    </cfRule>
  </conditionalFormatting>
  <conditionalFormatting sqref="L15">
    <cfRule type="expression" dxfId="120" priority="565">
      <formula>$B20=1</formula>
    </cfRule>
  </conditionalFormatting>
  <conditionalFormatting sqref="L20">
    <cfRule type="expression" dxfId="119" priority="566">
      <formula>$B14=1</formula>
    </cfRule>
  </conditionalFormatting>
  <conditionalFormatting sqref="B20:D20">
    <cfRule type="expression" dxfId="118" priority="568">
      <formula>$H16="Sim"</formula>
    </cfRule>
  </conditionalFormatting>
  <conditionalFormatting sqref="E16:H16 J16:L16">
    <cfRule type="expression" dxfId="117" priority="569">
      <formula>$B20=1</formula>
    </cfRule>
  </conditionalFormatting>
  <dataValidations count="12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7FA99DAC-51FA-4F16-80CB-072F5C4FA7DF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H3:H4" xr:uid="{64A13E28-B48A-4AFA-901C-07BA6ACCAE69}">
      <formula1>"Sim, Não"</formula1>
    </dataValidation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:A4" xr:uid="{BD872929-2E94-45EB-BD9B-3436D1B29827}"/>
    <dataValidation allowBlank="1" showInputMessage="1" showErrorMessage="1" prompt="Insira uma descrição do item nesta coluna" sqref="K11:K13 K5:K6" xr:uid="{92FCCF50-3FE8-4FA9-A7DD-5B3DAA9952DC}"/>
    <dataValidation allowBlank="1" showInputMessage="1" showErrorMessage="1" prompt="Insira a quantidade em estoque de cada item nesta coluna" sqref="L5 L7:L14" xr:uid="{D959442A-6684-4817-8ED7-D71259C9AC20}"/>
    <dataValidation allowBlank="1" showInputMessage="1" showErrorMessage="1" prompt="Insira o nível de estoque de cada item nesta coluna" sqref="E5 E7:E14" xr:uid="{D9AE14E6-4E7B-4875-8E7E-4B88E40C4CFB}"/>
    <dataValidation allowBlank="1" showInputMessage="1" showErrorMessage="1" prompt="Insira quantos dias faltam para realizar nova encomenda de cada item nesta coluna" sqref="F5 F7:F14" xr:uid="{8C6FC98E-3B05-41B3-87E1-4F382265DD17}"/>
    <dataValidation allowBlank="1" showInputMessage="1" showErrorMessage="1" prompt="Insira a quantidade a encomendar de cada item nesta coluna" sqref="G5 G7:G14" xr:uid="{BFD1A40E-9CB0-4E4B-AB6C-A1B10A2916DA}"/>
    <dataValidation allowBlank="1" showInputMessage="1" showErrorMessage="1" prompt="Insira sim se o item tiver sido descontinuado. Ao inserir Sim, a linha correspondente é realçada em cinza claro e o estilo da fonte é alterado para Tachado" sqref="H5 H7:H14" xr:uid="{F4D880C8-40BC-4B17-B4B6-8B1184833C0B}"/>
    <dataValidation allowBlank="1" showInputMessage="1" showErrorMessage="1" prompt="Insira a ID de estoque do item nesta coluna" sqref="J7:J14 J5" xr:uid="{0D2AE38C-702A-4E01-8BE7-9DB27F8C02B4}"/>
    <dataValidation type="list" allowBlank="1" showInputMessage="1" showErrorMessage="1" sqref="H6 H15:H20" xr:uid="{1FF1B02A-DCAA-4E36-BDD6-C9AB41E4CEC1}">
      <formula1>"Sim"</formula1>
    </dataValidation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5:D14" xr:uid="{4CCA44CE-9921-494A-B31D-B1C3BA57B12C}"/>
  </dataValidations>
  <pageMargins left="0.25" right="0.25" top="0.75" bottom="0.75" header="0.3" footer="0.3"/>
  <pageSetup paperSize="9" scale="56" fitToHeight="0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1" id="{C57B4694-EDA4-45EE-BB1C-B45D2B2FF1A8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B6:D20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3DAC-1723-4175-97FE-617B430E6255}">
  <sheetPr>
    <pageSetUpPr fitToPage="1"/>
  </sheetPr>
  <dimension ref="A1:L20"/>
  <sheetViews>
    <sheetView showGridLines="0" topLeftCell="A6" zoomScaleNormal="100" workbookViewId="0">
      <selection activeCell="G7" sqref="G7:G19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8.5546875" style="6" customWidth="1"/>
    <col min="6" max="6" width="42.33203125" style="6" customWidth="1"/>
    <col min="7" max="7" width="12.1093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1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33</v>
      </c>
    </row>
    <row r="2" spans="1:12" s="1" customFormat="1" ht="116.25" customHeight="1">
      <c r="B2" s="2"/>
      <c r="C2" s="2"/>
      <c r="D2" s="2"/>
      <c r="E2" s="116" t="s">
        <v>109</v>
      </c>
      <c r="F2" s="116"/>
      <c r="G2" s="116"/>
      <c r="H2" s="116"/>
      <c r="I2" s="7"/>
    </row>
    <row r="3" spans="1:12" ht="23.25" customHeight="1">
      <c r="E3" s="10"/>
      <c r="F3" s="10"/>
      <c r="G3" s="11"/>
      <c r="H3" s="11"/>
      <c r="I3" s="11"/>
      <c r="J3" s="12" t="s">
        <v>90</v>
      </c>
      <c r="K3" s="13" t="s">
        <v>91</v>
      </c>
    </row>
    <row r="4" spans="1:12" ht="23.25" customHeight="1">
      <c r="E4" s="126" t="s">
        <v>110</v>
      </c>
      <c r="F4" s="126"/>
      <c r="G4" s="126"/>
      <c r="H4" s="11"/>
      <c r="I4" s="11"/>
      <c r="J4" s="12"/>
      <c r="K4" s="13"/>
    </row>
    <row r="5" spans="1:12" s="3" customFormat="1" ht="50.1" customHeight="1"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36</v>
      </c>
      <c r="I5" s="9" t="s">
        <v>37</v>
      </c>
      <c r="J5" s="9" t="s">
        <v>38</v>
      </c>
      <c r="K5" s="9" t="s">
        <v>39</v>
      </c>
    </row>
    <row r="6" spans="1:12" ht="24" customHeight="1">
      <c r="B6" s="3">
        <f>IFERROR((#REF!&lt;=#REF!)*(#REF!="")*RealceValor,0)</f>
        <v>0</v>
      </c>
      <c r="E6" s="27"/>
      <c r="F6" s="30" t="s">
        <v>71</v>
      </c>
      <c r="G6" s="28"/>
    </row>
    <row r="7" spans="1:12" s="3" customFormat="1" ht="18" customHeight="1">
      <c r="A7" s="4"/>
      <c r="B7" s="3">
        <f>IFERROR((#REF!&lt;=#REF!)*(#REF!="")*RealceValor,0)</f>
        <v>0</v>
      </c>
      <c r="E7" s="32">
        <v>53254</v>
      </c>
      <c r="F7" s="33" t="s">
        <v>98</v>
      </c>
      <c r="G7" s="28">
        <v>20</v>
      </c>
      <c r="H7" s="39"/>
      <c r="I7" s="39"/>
      <c r="J7" s="39"/>
      <c r="K7" s="41"/>
      <c r="L7" s="42"/>
    </row>
    <row r="8" spans="1:12" s="3" customFormat="1" ht="18" customHeight="1">
      <c r="A8" s="4"/>
      <c r="B8" s="3">
        <f>IFERROR((#REF!&lt;=#REF!)*(#REF!="")*RealceValor,0)</f>
        <v>0</v>
      </c>
      <c r="E8" s="32">
        <v>85934</v>
      </c>
      <c r="F8" s="33" t="s">
        <v>99</v>
      </c>
      <c r="G8" s="28">
        <v>20</v>
      </c>
      <c r="H8" s="39"/>
      <c r="I8" s="39"/>
      <c r="J8" s="39"/>
      <c r="K8" s="41"/>
      <c r="L8" s="42"/>
    </row>
    <row r="9" spans="1:12" s="3" customFormat="1" ht="18" customHeight="1">
      <c r="A9" s="4"/>
      <c r="B9" s="3">
        <f>IFERROR((#REF!&lt;=#REF!)*(#REF!="")*RealceValor,0)</f>
        <v>0</v>
      </c>
      <c r="E9" s="32">
        <v>88550</v>
      </c>
      <c r="F9" s="33" t="s">
        <v>100</v>
      </c>
      <c r="G9" s="28">
        <v>20</v>
      </c>
      <c r="H9" s="39"/>
      <c r="I9" s="39"/>
      <c r="J9" s="39"/>
      <c r="K9" s="41"/>
      <c r="L9" s="42"/>
    </row>
    <row r="10" spans="1:12" s="3" customFormat="1" ht="18" customHeight="1">
      <c r="A10" s="4"/>
      <c r="B10" s="3">
        <f>IFERROR((#REF!&lt;=#REF!)*(#REF!="")*RealceValor,0)</f>
        <v>0</v>
      </c>
      <c r="E10" s="32">
        <v>31821</v>
      </c>
      <c r="F10" s="33" t="s">
        <v>101</v>
      </c>
      <c r="G10" s="28">
        <v>5</v>
      </c>
      <c r="H10" s="39"/>
      <c r="I10" s="39"/>
      <c r="J10" s="39"/>
      <c r="K10" s="41"/>
      <c r="L10" s="42"/>
    </row>
    <row r="11" spans="1:12" s="3" customFormat="1" ht="18" customHeight="1">
      <c r="A11" s="4"/>
      <c r="B11" s="3">
        <f>IFERROR((#REF!&lt;=#REF!)*(#REF!="")*RealceValor,0)</f>
        <v>0</v>
      </c>
      <c r="E11" s="32">
        <v>96281</v>
      </c>
      <c r="F11" s="33" t="s">
        <v>102</v>
      </c>
      <c r="G11" s="28">
        <v>10</v>
      </c>
      <c r="H11" s="39"/>
      <c r="I11" s="39"/>
      <c r="J11" s="39"/>
      <c r="K11" s="41"/>
      <c r="L11" s="42"/>
    </row>
    <row r="12" spans="1:12" s="3" customFormat="1" ht="18" customHeight="1">
      <c r="A12" s="4"/>
      <c r="B12" s="3">
        <f>IFERROR((#REF!&lt;=#REF!)*(#REF!="")*RealceValor,0)</f>
        <v>0</v>
      </c>
      <c r="E12" s="32">
        <v>96283</v>
      </c>
      <c r="F12" s="33" t="s">
        <v>103</v>
      </c>
      <c r="G12" s="28">
        <v>20</v>
      </c>
      <c r="H12" s="39"/>
      <c r="I12" s="39"/>
      <c r="J12" s="39"/>
      <c r="K12" s="41"/>
      <c r="L12" s="42"/>
    </row>
    <row r="13" spans="1:12" s="3" customFormat="1" ht="18" customHeight="1">
      <c r="A13" s="4"/>
      <c r="B13" s="3">
        <f>IFERROR((#REF!&lt;=#REF!)*(#REF!="")*RealceValor,0)</f>
        <v>0</v>
      </c>
      <c r="E13" s="32">
        <v>97304</v>
      </c>
      <c r="F13" s="33" t="s">
        <v>104</v>
      </c>
      <c r="G13" s="28">
        <v>12</v>
      </c>
      <c r="H13" s="39"/>
      <c r="I13" s="39"/>
      <c r="J13" s="39"/>
      <c r="K13" s="41"/>
      <c r="L13" s="42"/>
    </row>
    <row r="14" spans="1:12" s="3" customFormat="1" ht="18" customHeight="1">
      <c r="A14" s="4"/>
      <c r="B14" s="3">
        <f>IFERROR((#REF!&lt;=#REF!)*(#REF!="")*RealceValor,0)</f>
        <v>0</v>
      </c>
      <c r="E14" s="32">
        <v>19457</v>
      </c>
      <c r="F14" s="33" t="s">
        <v>105</v>
      </c>
      <c r="G14" s="28">
        <v>8</v>
      </c>
      <c r="H14" s="39"/>
      <c r="I14" s="39"/>
      <c r="J14" s="39"/>
      <c r="K14" s="41"/>
      <c r="L14" s="42"/>
    </row>
    <row r="15" spans="1:12" ht="18" customHeight="1">
      <c r="B15" s="3">
        <f>IFERROR((#REF!&lt;=#REF!)*(#REF!="")*RealceValor,0)</f>
        <v>0</v>
      </c>
      <c r="E15" s="32">
        <v>78572</v>
      </c>
      <c r="F15" s="33" t="s">
        <v>77</v>
      </c>
      <c r="G15" s="69">
        <v>5</v>
      </c>
      <c r="H15" s="39"/>
      <c r="I15" s="39"/>
      <c r="J15" s="39"/>
      <c r="K15" s="41"/>
      <c r="L15" s="42"/>
    </row>
    <row r="16" spans="1:12" ht="18" customHeight="1">
      <c r="B16" s="3">
        <f>IFERROR((#REF!&lt;=#REF!)*(#REF!="")*RealceValor,0)</f>
        <v>0</v>
      </c>
      <c r="E16" s="32">
        <v>97768</v>
      </c>
      <c r="F16" s="33" t="s">
        <v>85</v>
      </c>
      <c r="G16" s="28">
        <v>14</v>
      </c>
      <c r="H16" s="39"/>
      <c r="I16" s="39"/>
      <c r="J16" s="39"/>
      <c r="K16" s="41"/>
      <c r="L16" s="42"/>
    </row>
    <row r="17" spans="2:12" ht="18" customHeight="1">
      <c r="B17" s="3">
        <f>IFERROR((#REF!&lt;=#REF!)*(#REF!="")*RealceValor,0)</f>
        <v>0</v>
      </c>
      <c r="E17" s="32">
        <v>95501</v>
      </c>
      <c r="F17" s="33" t="s">
        <v>106</v>
      </c>
      <c r="G17" s="28">
        <v>4</v>
      </c>
      <c r="H17" s="39"/>
      <c r="I17" s="39"/>
      <c r="J17" s="39"/>
      <c r="K17" s="41"/>
      <c r="L17" s="42"/>
    </row>
    <row r="18" spans="2:12" ht="18" customHeight="1">
      <c r="B18" s="3">
        <f>IFERROR((#REF!&lt;=#REF!)*(#REF!="")*RealceValor,0)</f>
        <v>0</v>
      </c>
      <c r="E18" s="32">
        <v>98001</v>
      </c>
      <c r="F18" s="33" t="s">
        <v>107</v>
      </c>
      <c r="G18" s="28">
        <v>1</v>
      </c>
      <c r="H18" s="39"/>
      <c r="I18" s="39"/>
      <c r="J18" s="39"/>
      <c r="K18" s="41"/>
      <c r="L18" s="42"/>
    </row>
    <row r="19" spans="2:12" ht="18" customHeight="1">
      <c r="B19" s="3">
        <f>IFERROR((#REF!&lt;=#REF!)*(#REF!="")*RealceValor,0)</f>
        <v>0</v>
      </c>
      <c r="E19" s="64">
        <v>30563</v>
      </c>
      <c r="F19" s="65" t="s">
        <v>108</v>
      </c>
      <c r="G19" s="28">
        <v>1</v>
      </c>
      <c r="H19" s="39"/>
      <c r="I19" s="39"/>
      <c r="J19" s="39"/>
      <c r="K19" s="41"/>
      <c r="L19" s="42"/>
    </row>
    <row r="20" spans="2:12" ht="18" customHeight="1">
      <c r="B20" s="3">
        <f>IFERROR((#REF!&lt;=#REF!)*(#REF!="")*RealceValor,0)</f>
        <v>0</v>
      </c>
      <c r="E20" s="31" t="s">
        <v>75</v>
      </c>
      <c r="F20" s="33" t="s">
        <v>76</v>
      </c>
      <c r="G20" s="28">
        <v>3</v>
      </c>
      <c r="H20" s="39"/>
      <c r="I20" s="39"/>
      <c r="J20" s="39"/>
      <c r="K20" s="41"/>
      <c r="L20" s="42"/>
    </row>
  </sheetData>
  <mergeCells count="2">
    <mergeCell ref="E4:G4"/>
    <mergeCell ref="E2:H2"/>
  </mergeCells>
  <conditionalFormatting sqref="B7:D13 B15:D18">
    <cfRule type="expression" dxfId="100" priority="12">
      <formula>$K8="Sim"</formula>
    </cfRule>
  </conditionalFormatting>
  <conditionalFormatting sqref="B7:D20">
    <cfRule type="expression" dxfId="99" priority="11">
      <formula>$B7=1</formula>
    </cfRule>
  </conditionalFormatting>
  <conditionalFormatting sqref="B6:E6 G6:K6">
    <cfRule type="expression" dxfId="98" priority="8">
      <formula>$K6="Sim"</formula>
    </cfRule>
    <cfRule type="expression" dxfId="97" priority="9">
      <formula>$B6=1</formula>
    </cfRule>
  </conditionalFormatting>
  <conditionalFormatting sqref="E7:K7 E15:K15 E20:K20">
    <cfRule type="expression" dxfId="96" priority="15">
      <formula>#REF!=1</formula>
    </cfRule>
  </conditionalFormatting>
  <conditionalFormatting sqref="E7:K18 E20:K20 G19:K19">
    <cfRule type="expression" dxfId="95" priority="13">
      <formula>$K7="Sim"</formula>
    </cfRule>
  </conditionalFormatting>
  <conditionalFormatting sqref="E16:K18 E8:K14 E20:K20 G19:K19">
    <cfRule type="expression" dxfId="94" priority="14">
      <formula>$B7=1</formula>
    </cfRule>
  </conditionalFormatting>
  <conditionalFormatting sqref="F6">
    <cfRule type="expression" dxfId="93" priority="6">
      <formula>$K6="Sim"</formula>
    </cfRule>
    <cfRule type="expression" dxfId="92" priority="7">
      <formula>$B6=1</formula>
    </cfRule>
  </conditionalFormatting>
  <conditionalFormatting sqref="B20:D20">
    <cfRule type="expression" dxfId="91" priority="500">
      <formula>$K16="Sim"</formula>
    </cfRule>
  </conditionalFormatting>
  <conditionalFormatting sqref="F20">
    <cfRule type="expression" dxfId="90" priority="3">
      <formula>$B14=1</formula>
    </cfRule>
  </conditionalFormatting>
  <conditionalFormatting sqref="B14:D14">
    <cfRule type="expression" dxfId="89" priority="504">
      <formula>#REF!="Sim"</formula>
    </cfRule>
  </conditionalFormatting>
  <conditionalFormatting sqref="B19:D19">
    <cfRule type="expression" dxfId="88" priority="554">
      <formula>#REF!="Sim"</formula>
    </cfRule>
  </conditionalFormatting>
  <conditionalFormatting sqref="E19:F19">
    <cfRule type="expression" dxfId="87" priority="1">
      <formula>$H19="Sim"</formula>
    </cfRule>
  </conditionalFormatting>
  <conditionalFormatting sqref="E19:F19">
    <cfRule type="expression" dxfId="86" priority="2">
      <formula>$B18=1</formula>
    </cfRule>
  </conditionalFormatting>
  <dataValidations count="12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5:D14" xr:uid="{711CE297-5E8E-42F5-AF0C-74788023B00F}"/>
    <dataValidation type="list" allowBlank="1" showInputMessage="1" showErrorMessage="1" sqref="K15:K20 K6" xr:uid="{CC6E7956-EEAA-4D29-9F6F-E3CCFBBD8482}">
      <formula1>"Sim"</formula1>
    </dataValidation>
    <dataValidation allowBlank="1" showInputMessage="1" showErrorMessage="1" prompt="Insira a ID de estoque do item nesta coluna" sqref="E5 E20 E7:E14" xr:uid="{D8D48345-37FB-4E94-AAB7-6A317A92FE5A}"/>
    <dataValidation allowBlank="1" showInputMessage="1" showErrorMessage="1" prompt="Insira sim se o item tiver sido descontinuado. Ao inserir Sim, a linha correspondente é realçada em cinza claro e o estilo da fonte é alterado para Tachado" sqref="K5 K20 K7:K14" xr:uid="{C96E00DE-0952-413A-960D-E8D49F957C43}"/>
    <dataValidation allowBlank="1" showInputMessage="1" showErrorMessage="1" prompt="Insira a quantidade a encomendar de cada item nesta coluna" sqref="J5 J20 J7:J14" xr:uid="{2C8CB9AF-B90A-4EFA-8F57-966E01ADA70E}"/>
    <dataValidation allowBlank="1" showInputMessage="1" showErrorMessage="1" prompt="Insira quantos dias faltam para realizar nova encomenda de cada item nesta coluna" sqref="I5 I20 I7:I14" xr:uid="{95D83163-8CBF-4341-A14C-EF5DC9FCFA40}"/>
    <dataValidation allowBlank="1" showInputMessage="1" showErrorMessage="1" prompt="Insira o nível de estoque de cada item nesta coluna" sqref="H5 H20 H7:H14" xr:uid="{10F11956-CFA7-4DDB-98EE-1C8BF06A3CD9}"/>
    <dataValidation allowBlank="1" showInputMessage="1" showErrorMessage="1" prompt="Insira a quantidade em estoque de cada item nesta coluna" sqref="G5 G20 G7:G14" xr:uid="{B727827C-8858-4ADC-9AAC-69326FC5B8FA}"/>
    <dataValidation allowBlank="1" showInputMessage="1" showErrorMessage="1" prompt="Insira uma descrição do item nesta coluna" sqref="F5:F6 F11:F13" xr:uid="{E4B2C9E0-EDFB-44B3-BD4F-6A428C385327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:A4" xr:uid="{EF6F60E9-4CA5-4348-A15D-AB905D0D6F63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:K4" xr:uid="{2E16D8BF-88F3-4238-B632-847F5DA05C6A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3FAB8234-2917-4B7D-8F18-989609016FD5}"/>
  </dataValidations>
  <pageMargins left="0.25" right="0.25" top="0.75" bottom="0.75" header="0.3" footer="0.3"/>
  <pageSetup paperSize="9" scale="56" fitToHeight="0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11" id="{28D9B1FE-BB82-4935-9D9F-F3FA9E8242C3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B6:D20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9D26-CC09-4A48-87D2-F477DA271402}">
  <dimension ref="B2:D19"/>
  <sheetViews>
    <sheetView topLeftCell="A5" workbookViewId="0">
      <selection activeCell="A16" sqref="A16:XFD16"/>
    </sheetView>
  </sheetViews>
  <sheetFormatPr defaultRowHeight="15.75"/>
  <cols>
    <col min="1" max="1" width="1.88671875" customWidth="1"/>
    <col min="3" max="3" width="44.5546875" customWidth="1"/>
  </cols>
  <sheetData>
    <row r="2" spans="2:4" ht="16.5">
      <c r="B2" s="126" t="s">
        <v>110</v>
      </c>
      <c r="C2" s="126"/>
      <c r="D2" s="126"/>
    </row>
    <row r="3" spans="2:4" ht="27">
      <c r="B3" s="9" t="s">
        <v>5</v>
      </c>
      <c r="C3" s="9" t="s">
        <v>6</v>
      </c>
      <c r="D3" s="9" t="s">
        <v>7</v>
      </c>
    </row>
    <row r="4" spans="2:4">
      <c r="B4" s="27"/>
      <c r="C4" s="30" t="s">
        <v>71</v>
      </c>
      <c r="D4" s="28"/>
    </row>
    <row r="5" spans="2:4">
      <c r="B5" s="32">
        <v>53254</v>
      </c>
      <c r="C5" s="33" t="s">
        <v>98</v>
      </c>
      <c r="D5" s="28">
        <v>10</v>
      </c>
    </row>
    <row r="6" spans="2:4">
      <c r="B6" s="32">
        <v>85934</v>
      </c>
      <c r="C6" s="33" t="s">
        <v>99</v>
      </c>
      <c r="D6" s="28">
        <v>10</v>
      </c>
    </row>
    <row r="7" spans="2:4">
      <c r="B7" s="32">
        <v>88550</v>
      </c>
      <c r="C7" s="33" t="s">
        <v>100</v>
      </c>
      <c r="D7" s="28">
        <v>10</v>
      </c>
    </row>
    <row r="8" spans="2:4">
      <c r="B8" s="32">
        <v>31821</v>
      </c>
      <c r="C8" s="33" t="s">
        <v>101</v>
      </c>
      <c r="D8" s="28">
        <v>10</v>
      </c>
    </row>
    <row r="9" spans="2:4">
      <c r="B9" s="32">
        <v>96281</v>
      </c>
      <c r="C9" s="33" t="s">
        <v>102</v>
      </c>
      <c r="D9" s="28">
        <v>5</v>
      </c>
    </row>
    <row r="10" spans="2:4">
      <c r="B10" s="32">
        <v>96283</v>
      </c>
      <c r="C10" s="33" t="s">
        <v>103</v>
      </c>
      <c r="D10" s="28">
        <v>5</v>
      </c>
    </row>
    <row r="11" spans="2:4">
      <c r="B11" s="32">
        <v>97304</v>
      </c>
      <c r="C11" s="33" t="s">
        <v>104</v>
      </c>
      <c r="D11" s="28">
        <v>10</v>
      </c>
    </row>
    <row r="12" spans="2:4" hidden="1">
      <c r="B12" s="32">
        <v>78572</v>
      </c>
      <c r="C12" s="33" t="s">
        <v>77</v>
      </c>
      <c r="D12" s="69">
        <v>5</v>
      </c>
    </row>
    <row r="13" spans="2:4">
      <c r="B13" s="32">
        <v>97768</v>
      </c>
      <c r="C13" s="33" t="s">
        <v>85</v>
      </c>
      <c r="D13" s="28">
        <v>1</v>
      </c>
    </row>
    <row r="14" spans="2:4">
      <c r="B14" s="32">
        <v>95501</v>
      </c>
      <c r="C14" s="33" t="s">
        <v>106</v>
      </c>
      <c r="D14" s="28">
        <v>1</v>
      </c>
    </row>
    <row r="15" spans="2:4">
      <c r="B15" s="32">
        <v>98001</v>
      </c>
      <c r="C15" s="33" t="s">
        <v>107</v>
      </c>
      <c r="D15" s="28">
        <v>1</v>
      </c>
    </row>
    <row r="16" spans="2:4" hidden="1">
      <c r="B16" s="55" t="s">
        <v>75</v>
      </c>
      <c r="C16" s="33" t="s">
        <v>76</v>
      </c>
      <c r="D16" s="52">
        <v>3</v>
      </c>
    </row>
    <row r="17" spans="2:4" ht="16.5">
      <c r="B17" s="32">
        <v>12263</v>
      </c>
      <c r="C17" s="33" t="s">
        <v>86</v>
      </c>
      <c r="D17" s="36">
        <v>50</v>
      </c>
    </row>
    <row r="18" spans="2:4" ht="16.5">
      <c r="B18" s="32">
        <v>12239</v>
      </c>
      <c r="C18" s="33" t="s">
        <v>87</v>
      </c>
      <c r="D18" s="36">
        <v>50</v>
      </c>
    </row>
    <row r="19" spans="2:4" ht="16.5">
      <c r="B19" s="32">
        <v>12262</v>
      </c>
      <c r="C19" s="33" t="s">
        <v>88</v>
      </c>
      <c r="D19" s="36">
        <v>50</v>
      </c>
    </row>
  </sheetData>
  <mergeCells count="1">
    <mergeCell ref="B2:D2"/>
  </mergeCells>
  <conditionalFormatting sqref="B4 D4">
    <cfRule type="expression" dxfId="64" priority="14">
      <formula>$K4="Sim"</formula>
    </cfRule>
    <cfRule type="expression" dxfId="63" priority="15">
      <formula>$B4=1</formula>
    </cfRule>
  </conditionalFormatting>
  <conditionalFormatting sqref="B5:D16">
    <cfRule type="expression" dxfId="62" priority="16">
      <formula>$K5="Sim"</formula>
    </cfRule>
  </conditionalFormatting>
  <conditionalFormatting sqref="B6:D11 B13:D15">
    <cfRule type="expression" dxfId="61" priority="17">
      <formula>$B5=1</formula>
    </cfRule>
  </conditionalFormatting>
  <conditionalFormatting sqref="C4">
    <cfRule type="expression" dxfId="60" priority="12">
      <formula>$K4="Sim"</formula>
    </cfRule>
    <cfRule type="expression" dxfId="59" priority="13">
      <formula>$B4=1</formula>
    </cfRule>
  </conditionalFormatting>
  <conditionalFormatting sqref="C16">
    <cfRule type="expression" dxfId="58" priority="11">
      <formula>#REF!=1</formula>
    </cfRule>
  </conditionalFormatting>
  <conditionalFormatting sqref="B16:D16">
    <cfRule type="expression" dxfId="57" priority="593">
      <formula>#REF!="Sim"</formula>
    </cfRule>
  </conditionalFormatting>
  <conditionalFormatting sqref="B17:C17">
    <cfRule type="expression" dxfId="56" priority="4">
      <formula>$B16=1</formula>
    </cfRule>
  </conditionalFormatting>
  <conditionalFormatting sqref="D17">
    <cfRule type="expression" dxfId="55" priority="3">
      <formula>$B16=1</formula>
    </cfRule>
  </conditionalFormatting>
  <conditionalFormatting sqref="D18">
    <cfRule type="expression" dxfId="54" priority="6">
      <formula>$B16=1</formula>
    </cfRule>
  </conditionalFormatting>
  <conditionalFormatting sqref="D19">
    <cfRule type="expression" dxfId="53" priority="8">
      <formula>$B16=1</formula>
    </cfRule>
  </conditionalFormatting>
  <conditionalFormatting sqref="B17:C19">
    <cfRule type="expression" dxfId="52" priority="1">
      <formula>$K17="Sim"</formula>
    </cfRule>
  </conditionalFormatting>
  <conditionalFormatting sqref="B19:C19">
    <cfRule type="expression" dxfId="51" priority="9">
      <formula>$B16=1</formula>
    </cfRule>
  </conditionalFormatting>
  <conditionalFormatting sqref="B18:C18">
    <cfRule type="expression" dxfId="50" priority="10">
      <formula>$B16=1</formula>
    </cfRule>
  </conditionalFormatting>
  <dataValidations count="3">
    <dataValidation allowBlank="1" showInputMessage="1" showErrorMessage="1" prompt="Insira uma descrição do item nesta coluna" sqref="C3:C4 C9:C11" xr:uid="{49BCDE0C-98CD-4AB6-AAE0-281A608F2AD5}"/>
    <dataValidation allowBlank="1" showInputMessage="1" showErrorMessage="1" prompt="Insira a quantidade em estoque de cada item nesta coluna" sqref="D3 D16 D5:D11" xr:uid="{B6DC420D-D014-4C0B-B5A2-B08EA7699F30}"/>
    <dataValidation allowBlank="1" showInputMessage="1" showErrorMessage="1" prompt="Insira a ID de estoque do item nesta coluna" sqref="B3 B16 B5:B11" xr:uid="{536C21E4-D1B4-40E1-877F-E20650F91CFC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BC07E33B-619C-453B-B2C9-6949E2175213}">
            <xm:f>'Kit Pintura Mecanizada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B5:D5 B12:D12 B16:D16</xm:sqref>
        </x14:conditionalFormatting>
        <x14:conditionalFormatting xmlns:xm="http://schemas.microsoft.com/office/excel/2006/main">
          <x14:cfRule type="expression" priority="2" id="{DA628A54-B10D-446F-AB82-1BEDB49043B7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D17</xm:sqref>
        </x14:conditionalFormatting>
        <x14:conditionalFormatting xmlns:xm="http://schemas.microsoft.com/office/excel/2006/main">
          <x14:cfRule type="expression" priority="5" id="{05713F58-535E-4FF1-A871-FE0256B90A4C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D18</xm:sqref>
        </x14:conditionalFormatting>
        <x14:conditionalFormatting xmlns:xm="http://schemas.microsoft.com/office/excel/2006/main">
          <x14:cfRule type="expression" priority="7" id="{DFF4C298-9F23-4D67-967D-55734D0F989C}">
            <xm:f>'Kit Preparação e 1° Demão 3°'!#REF!="Sim"</xm:f>
            <x14:dxf>
              <font>
                <strike/>
                <color theme="1" tint="0.34998626667073579"/>
              </font>
            </x14:dxf>
          </x14:cfRule>
          <xm:sqref>D19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BBAF-D336-414C-8A99-82948500F94B}">
  <dimension ref="A2:G38"/>
  <sheetViews>
    <sheetView topLeftCell="A21" workbookViewId="0">
      <selection activeCell="E27" sqref="E27"/>
    </sheetView>
  </sheetViews>
  <sheetFormatPr defaultRowHeight="15.75"/>
  <cols>
    <col min="2" max="2" width="62.109375" customWidth="1"/>
    <col min="3" max="3" width="12.88671875" bestFit="1" customWidth="1"/>
    <col min="6" max="6" width="64.33203125" customWidth="1"/>
  </cols>
  <sheetData>
    <row r="2" spans="1:7" ht="27">
      <c r="A2" s="14" t="s">
        <v>5</v>
      </c>
      <c r="B2" s="14" t="s">
        <v>6</v>
      </c>
      <c r="C2" s="14" t="s">
        <v>7</v>
      </c>
      <c r="E2" s="117" t="s">
        <v>58</v>
      </c>
      <c r="F2" s="117"/>
      <c r="G2" s="117"/>
    </row>
    <row r="3" spans="1:7" ht="27">
      <c r="A3" s="15"/>
      <c r="B3" s="30" t="s">
        <v>8</v>
      </c>
      <c r="C3" s="34"/>
      <c r="E3" s="29" t="s">
        <v>5</v>
      </c>
      <c r="F3" s="29" t="s">
        <v>6</v>
      </c>
      <c r="G3" s="29" t="s">
        <v>7</v>
      </c>
    </row>
    <row r="4" spans="1:7" ht="17.25" customHeight="1">
      <c r="A4" s="15">
        <v>23922</v>
      </c>
      <c r="B4" s="16" t="s">
        <v>9</v>
      </c>
      <c r="C4" s="31">
        <v>160</v>
      </c>
      <c r="E4" s="31"/>
      <c r="F4" s="70" t="s">
        <v>59</v>
      </c>
      <c r="G4" s="28"/>
    </row>
    <row r="5" spans="1:7" ht="17.25" customHeight="1">
      <c r="A5" s="15">
        <v>39371</v>
      </c>
      <c r="B5" s="16" t="s">
        <v>10</v>
      </c>
      <c r="C5" s="31">
        <v>480</v>
      </c>
      <c r="E5" s="31">
        <v>90609</v>
      </c>
      <c r="F5" s="27" t="s">
        <v>18</v>
      </c>
      <c r="G5" s="28">
        <v>100</v>
      </c>
    </row>
    <row r="6" spans="1:7" ht="17.25" customHeight="1">
      <c r="A6" s="15">
        <v>49777</v>
      </c>
      <c r="B6" s="16" t="s">
        <v>11</v>
      </c>
      <c r="C6" s="31">
        <v>70</v>
      </c>
      <c r="E6" s="31">
        <v>91458</v>
      </c>
      <c r="F6" s="27" t="s">
        <v>19</v>
      </c>
      <c r="G6" s="28">
        <v>80</v>
      </c>
    </row>
    <row r="7" spans="1:7" ht="17.25" customHeight="1">
      <c r="A7" s="15">
        <v>14823</v>
      </c>
      <c r="B7" s="16" t="s">
        <v>12</v>
      </c>
      <c r="C7" s="31">
        <v>2100</v>
      </c>
      <c r="E7" s="55">
        <v>90607</v>
      </c>
      <c r="F7" s="57" t="s">
        <v>20</v>
      </c>
      <c r="G7" s="52">
        <v>50</v>
      </c>
    </row>
    <row r="8" spans="1:7" ht="17.25" customHeight="1">
      <c r="A8" s="17">
        <v>50069</v>
      </c>
      <c r="B8" s="16" t="s">
        <v>13</v>
      </c>
      <c r="C8" s="59">
        <v>13</v>
      </c>
      <c r="E8" s="31">
        <v>14823</v>
      </c>
      <c r="F8" s="27" t="s">
        <v>12</v>
      </c>
      <c r="G8" s="28">
        <v>250</v>
      </c>
    </row>
    <row r="9" spans="1:7" ht="17.25" customHeight="1">
      <c r="A9" s="47">
        <v>99163</v>
      </c>
      <c r="B9" s="48" t="s">
        <v>14</v>
      </c>
      <c r="C9" s="60">
        <v>6</v>
      </c>
      <c r="E9" s="31">
        <v>95860</v>
      </c>
      <c r="F9" s="27" t="s">
        <v>21</v>
      </c>
      <c r="G9" s="28">
        <v>170</v>
      </c>
    </row>
    <row r="10" spans="1:7" ht="17.25" customHeight="1">
      <c r="A10" s="21">
        <v>99159</v>
      </c>
      <c r="B10" s="24" t="s">
        <v>15</v>
      </c>
      <c r="C10" s="31">
        <v>2</v>
      </c>
      <c r="E10" s="31">
        <v>72755</v>
      </c>
      <c r="F10" s="27" t="s">
        <v>22</v>
      </c>
      <c r="G10" s="28">
        <v>215</v>
      </c>
    </row>
    <row r="11" spans="1:7" ht="17.25" customHeight="1">
      <c r="A11" s="21">
        <v>99160</v>
      </c>
      <c r="B11" s="24" t="s">
        <v>16</v>
      </c>
      <c r="C11" s="31">
        <v>2</v>
      </c>
      <c r="E11" s="31">
        <v>90608</v>
      </c>
      <c r="F11" s="27" t="s">
        <v>23</v>
      </c>
      <c r="G11" s="28">
        <v>400</v>
      </c>
    </row>
    <row r="12" spans="1:7" ht="17.25" customHeight="1">
      <c r="A12" s="21">
        <v>99155</v>
      </c>
      <c r="B12" s="25" t="s">
        <v>17</v>
      </c>
      <c r="C12" s="31">
        <v>3</v>
      </c>
      <c r="E12" s="31">
        <v>97790</v>
      </c>
      <c r="F12" s="27" t="s">
        <v>24</v>
      </c>
      <c r="G12" s="28">
        <v>4</v>
      </c>
    </row>
    <row r="13" spans="1:7" ht="17.25" customHeight="1">
      <c r="A13" s="15">
        <v>57952</v>
      </c>
      <c r="B13" s="16" t="s">
        <v>40</v>
      </c>
      <c r="C13" s="28">
        <v>17</v>
      </c>
      <c r="E13" s="31">
        <v>99163</v>
      </c>
      <c r="F13" s="27" t="s">
        <v>27</v>
      </c>
      <c r="G13" s="28">
        <v>2</v>
      </c>
    </row>
    <row r="14" spans="1:7" ht="17.25" customHeight="1">
      <c r="A14" s="15">
        <v>12289</v>
      </c>
      <c r="B14" s="16" t="s">
        <v>43</v>
      </c>
      <c r="C14" s="28" t="s">
        <v>111</v>
      </c>
      <c r="E14" s="15">
        <v>99165</v>
      </c>
      <c r="F14" s="27" t="s">
        <v>29</v>
      </c>
      <c r="G14" s="28">
        <v>6</v>
      </c>
    </row>
    <row r="15" spans="1:7" ht="17.25" customHeight="1">
      <c r="A15" s="15">
        <v>53679</v>
      </c>
      <c r="B15" s="16" t="s">
        <v>45</v>
      </c>
      <c r="C15" s="28">
        <v>60</v>
      </c>
      <c r="E15" s="15">
        <v>99160</v>
      </c>
      <c r="F15" s="57" t="s">
        <v>16</v>
      </c>
      <c r="G15" s="28">
        <v>1</v>
      </c>
    </row>
    <row r="16" spans="1:7" ht="17.25" customHeight="1">
      <c r="A16" s="15">
        <v>14390</v>
      </c>
      <c r="B16" s="18" t="s">
        <v>47</v>
      </c>
      <c r="C16" s="20">
        <v>10000</v>
      </c>
      <c r="E16" s="15">
        <v>99155</v>
      </c>
      <c r="F16" s="57" t="s">
        <v>17</v>
      </c>
      <c r="G16" s="35">
        <v>1</v>
      </c>
    </row>
    <row r="17" spans="1:7" ht="17.25" customHeight="1">
      <c r="A17" s="15">
        <v>78259</v>
      </c>
      <c r="B17" s="18" t="s">
        <v>48</v>
      </c>
      <c r="C17" s="20">
        <v>2000</v>
      </c>
      <c r="E17" s="55">
        <v>53679</v>
      </c>
      <c r="F17" s="57" t="s">
        <v>45</v>
      </c>
      <c r="G17" s="52">
        <v>55</v>
      </c>
    </row>
    <row r="18" spans="1:7" ht="17.25" customHeight="1">
      <c r="A18" s="15">
        <v>50693</v>
      </c>
      <c r="B18" s="18" t="s">
        <v>49</v>
      </c>
      <c r="C18" s="20">
        <v>13</v>
      </c>
      <c r="E18" s="55">
        <v>53678</v>
      </c>
      <c r="F18" s="57" t="s">
        <v>55</v>
      </c>
      <c r="G18" s="52">
        <v>22</v>
      </c>
    </row>
    <row r="19" spans="1:7" ht="17.25" customHeight="1">
      <c r="A19" s="15">
        <v>90737</v>
      </c>
      <c r="B19" s="18" t="s">
        <v>50</v>
      </c>
      <c r="C19" s="20">
        <v>5</v>
      </c>
      <c r="E19" s="55">
        <v>14390</v>
      </c>
      <c r="F19" s="57" t="s">
        <v>47</v>
      </c>
      <c r="G19" s="52">
        <v>4000</v>
      </c>
    </row>
    <row r="20" spans="1:7" ht="17.25" customHeight="1">
      <c r="A20" s="15">
        <v>20236</v>
      </c>
      <c r="B20" s="18" t="s">
        <v>51</v>
      </c>
      <c r="C20" s="20">
        <v>3</v>
      </c>
      <c r="E20" s="55">
        <v>50693</v>
      </c>
      <c r="F20" s="57" t="s">
        <v>49</v>
      </c>
      <c r="G20" s="52">
        <v>3</v>
      </c>
    </row>
    <row r="21" spans="1:7" ht="17.25" customHeight="1">
      <c r="A21" s="15">
        <v>26481</v>
      </c>
      <c r="B21" s="18" t="s">
        <v>52</v>
      </c>
      <c r="C21" s="20">
        <v>18</v>
      </c>
      <c r="E21" s="55">
        <v>90737</v>
      </c>
      <c r="F21" s="57" t="s">
        <v>50</v>
      </c>
      <c r="G21" s="52">
        <v>1</v>
      </c>
    </row>
    <row r="22" spans="1:7" ht="17.25" customHeight="1">
      <c r="A22" s="15">
        <v>78571</v>
      </c>
      <c r="B22" s="18" t="s">
        <v>53</v>
      </c>
      <c r="C22" s="28">
        <v>5</v>
      </c>
      <c r="E22" s="56">
        <v>20236</v>
      </c>
      <c r="F22" s="57" t="s">
        <v>51</v>
      </c>
      <c r="G22" s="52">
        <v>2</v>
      </c>
    </row>
    <row r="23" spans="1:7" ht="17.25" customHeight="1">
      <c r="A23" s="15">
        <v>12262</v>
      </c>
      <c r="B23" s="18" t="s">
        <v>54</v>
      </c>
      <c r="C23" s="28">
        <v>50</v>
      </c>
      <c r="E23" s="56">
        <v>26481</v>
      </c>
      <c r="F23" s="57" t="s">
        <v>52</v>
      </c>
      <c r="G23" s="52">
        <v>10</v>
      </c>
    </row>
    <row r="24" spans="1:7" ht="17.25" customHeight="1">
      <c r="A24" s="15">
        <v>41057</v>
      </c>
      <c r="B24" s="16" t="s">
        <v>41</v>
      </c>
      <c r="C24" s="28" t="s">
        <v>112</v>
      </c>
      <c r="E24" s="55">
        <v>78571</v>
      </c>
      <c r="F24" s="57" t="s">
        <v>53</v>
      </c>
      <c r="G24" s="52">
        <v>3</v>
      </c>
    </row>
    <row r="25" spans="1:7">
      <c r="E25" s="56">
        <v>12262</v>
      </c>
      <c r="F25" s="51" t="s">
        <v>54</v>
      </c>
      <c r="G25" s="58">
        <v>50</v>
      </c>
    </row>
    <row r="26" spans="1:7">
      <c r="A26" s="14" t="s">
        <v>62</v>
      </c>
      <c r="B26" s="14" t="s">
        <v>6</v>
      </c>
      <c r="C26" s="14" t="s">
        <v>7</v>
      </c>
    </row>
    <row r="27" spans="1:7" ht="27">
      <c r="A27" s="31"/>
      <c r="B27" s="30" t="s">
        <v>8</v>
      </c>
      <c r="C27" s="28"/>
      <c r="E27" s="14" t="s">
        <v>62</v>
      </c>
      <c r="F27" s="14" t="s">
        <v>6</v>
      </c>
      <c r="G27" s="14" t="s">
        <v>7</v>
      </c>
    </row>
    <row r="28" spans="1:7">
      <c r="A28" s="31">
        <v>23922</v>
      </c>
      <c r="B28" s="27" t="s">
        <v>9</v>
      </c>
      <c r="C28" s="28">
        <v>160</v>
      </c>
      <c r="E28" s="31"/>
      <c r="F28" s="30" t="s">
        <v>8</v>
      </c>
      <c r="G28" s="28"/>
    </row>
    <row r="29" spans="1:7">
      <c r="A29" s="21">
        <v>86000</v>
      </c>
      <c r="B29" s="22" t="s">
        <v>113</v>
      </c>
      <c r="C29" s="28">
        <v>360</v>
      </c>
      <c r="E29" s="31">
        <v>23922</v>
      </c>
      <c r="F29" s="27" t="s">
        <v>9</v>
      </c>
      <c r="G29" s="28">
        <v>160</v>
      </c>
    </row>
    <row r="30" spans="1:7">
      <c r="A30" s="21">
        <v>49777</v>
      </c>
      <c r="B30" s="22" t="s">
        <v>11</v>
      </c>
      <c r="C30" s="28">
        <v>60</v>
      </c>
      <c r="E30" s="21">
        <v>86000</v>
      </c>
      <c r="F30" s="22" t="s">
        <v>113</v>
      </c>
      <c r="G30" s="28">
        <v>360</v>
      </c>
    </row>
    <row r="31" spans="1:7">
      <c r="A31" s="21">
        <v>14823</v>
      </c>
      <c r="B31" s="22" t="s">
        <v>12</v>
      </c>
      <c r="C31" s="28">
        <v>2000</v>
      </c>
      <c r="E31" s="21">
        <v>49777</v>
      </c>
      <c r="F31" s="22" t="s">
        <v>11</v>
      </c>
      <c r="G31" s="28">
        <v>60</v>
      </c>
    </row>
    <row r="32" spans="1:7">
      <c r="A32" s="23">
        <v>50069</v>
      </c>
      <c r="B32" s="22" t="s">
        <v>13</v>
      </c>
      <c r="C32" s="28">
        <v>10</v>
      </c>
      <c r="E32" s="21">
        <v>14823</v>
      </c>
      <c r="F32" s="22" t="s">
        <v>12</v>
      </c>
      <c r="G32" s="28">
        <v>2000</v>
      </c>
    </row>
    <row r="33" spans="1:7">
      <c r="A33" s="49">
        <v>99163</v>
      </c>
      <c r="B33" s="37" t="s">
        <v>14</v>
      </c>
      <c r="C33" s="28">
        <v>6</v>
      </c>
      <c r="E33" s="23">
        <v>50069</v>
      </c>
      <c r="F33" s="22" t="s">
        <v>13</v>
      </c>
      <c r="G33" s="28">
        <v>10</v>
      </c>
    </row>
    <row r="34" spans="1:7">
      <c r="A34" s="21">
        <v>99159</v>
      </c>
      <c r="B34" s="24" t="s">
        <v>15</v>
      </c>
      <c r="C34" s="28">
        <v>1</v>
      </c>
      <c r="E34" s="49">
        <v>99163</v>
      </c>
      <c r="F34" s="37" t="s">
        <v>14</v>
      </c>
      <c r="G34" s="28">
        <v>6</v>
      </c>
    </row>
    <row r="35" spans="1:7">
      <c r="A35" s="21">
        <v>99160</v>
      </c>
      <c r="B35" s="24" t="s">
        <v>16</v>
      </c>
      <c r="C35" s="28">
        <v>1</v>
      </c>
      <c r="E35" s="21">
        <v>99159</v>
      </c>
      <c r="F35" s="24" t="s">
        <v>15</v>
      </c>
      <c r="G35" s="28">
        <v>1</v>
      </c>
    </row>
    <row r="36" spans="1:7">
      <c r="A36" s="21">
        <v>99155</v>
      </c>
      <c r="B36" s="25" t="s">
        <v>17</v>
      </c>
      <c r="C36" s="28">
        <v>2</v>
      </c>
      <c r="E36" s="21">
        <v>99160</v>
      </c>
      <c r="F36" s="24" t="s">
        <v>16</v>
      </c>
      <c r="G36" s="28">
        <v>1</v>
      </c>
    </row>
    <row r="37" spans="1:7">
      <c r="A37" s="27"/>
      <c r="B37" s="30"/>
      <c r="C37" s="28"/>
      <c r="E37" s="21">
        <v>99155</v>
      </c>
      <c r="F37" s="25" t="s">
        <v>17</v>
      </c>
      <c r="G37" s="28">
        <v>2</v>
      </c>
    </row>
    <row r="38" spans="1:7">
      <c r="E38" s="27"/>
      <c r="F38" s="30"/>
      <c r="G38" s="28"/>
    </row>
  </sheetData>
  <mergeCells count="1">
    <mergeCell ref="E2:G2"/>
  </mergeCells>
  <conditionalFormatting sqref="A3:C4">
    <cfRule type="expression" dxfId="45" priority="46">
      <formula>$B3=1</formula>
    </cfRule>
  </conditionalFormatting>
  <conditionalFormatting sqref="A7:C7">
    <cfRule type="expression" dxfId="44" priority="48">
      <formula>$B5=1</formula>
    </cfRule>
  </conditionalFormatting>
  <conditionalFormatting sqref="F4 E5:E13">
    <cfRule type="expression" dxfId="43" priority="26">
      <formula>$B4=1</formula>
    </cfRule>
  </conditionalFormatting>
  <conditionalFormatting sqref="A10:C12 E14:E16">
    <cfRule type="expression" dxfId="42" priority="602">
      <formula>$J10="Sim"</formula>
    </cfRule>
    <cfRule type="expression" dxfId="41" priority="603">
      <formula>$B10=1</formula>
    </cfRule>
  </conditionalFormatting>
  <conditionalFormatting sqref="B30:C31 A32:C32 A37:C37">
    <cfRule type="expression" dxfId="40" priority="13">
      <formula>$K30="Sim"</formula>
    </cfRule>
    <cfRule type="expression" dxfId="39" priority="14">
      <formula>$B30=1</formula>
    </cfRule>
  </conditionalFormatting>
  <conditionalFormatting sqref="A27:C29">
    <cfRule type="expression" dxfId="38" priority="11">
      <formula>$K27="Sim"</formula>
    </cfRule>
    <cfRule type="expression" dxfId="37" priority="12">
      <formula>$B27=1</formula>
    </cfRule>
  </conditionalFormatting>
  <conditionalFormatting sqref="A31">
    <cfRule type="expression" dxfId="36" priority="15">
      <formula>$K30="Sim"</formula>
    </cfRule>
    <cfRule type="expression" dxfId="35" priority="16">
      <formula>$B30=1</formula>
    </cfRule>
  </conditionalFormatting>
  <conditionalFormatting sqref="A33 C33 A34:C36">
    <cfRule type="expression" dxfId="34" priority="9">
      <formula>$K33="Sim"</formula>
    </cfRule>
    <cfRule type="expression" dxfId="33" priority="10">
      <formula>$B33=1</formula>
    </cfRule>
  </conditionalFormatting>
  <conditionalFormatting sqref="F31:G32 E33:G33 E38:G38">
    <cfRule type="expression" dxfId="32" priority="5">
      <formula>$K31="Sim"</formula>
    </cfRule>
    <cfRule type="expression" dxfId="31" priority="6">
      <formula>$B31=1</formula>
    </cfRule>
  </conditionalFormatting>
  <conditionalFormatting sqref="E28:G30">
    <cfRule type="expression" dxfId="30" priority="3">
      <formula>$K28="Sim"</formula>
    </cfRule>
    <cfRule type="expression" dxfId="29" priority="4">
      <formula>$B28=1</formula>
    </cfRule>
  </conditionalFormatting>
  <conditionalFormatting sqref="E32">
    <cfRule type="expression" dxfId="28" priority="7">
      <formula>$K31="Sim"</formula>
    </cfRule>
    <cfRule type="expression" dxfId="27" priority="8">
      <formula>$B31=1</formula>
    </cfRule>
  </conditionalFormatting>
  <conditionalFormatting sqref="E34 G34 E35:G37">
    <cfRule type="expression" dxfId="26" priority="1">
      <formula>$K34="Sim"</formula>
    </cfRule>
    <cfRule type="expression" dxfId="25" priority="2">
      <formula>$B34=1</formula>
    </cfRule>
  </conditionalFormatting>
  <dataValidations count="3">
    <dataValidation allowBlank="1" showInputMessage="1" showErrorMessage="1" prompt="Insira uma descrição do item nesta coluna" sqref="B2:B3 F3 B26:B27 F27:F28" xr:uid="{16DCA2A9-FC63-48A3-9FF3-644B68FBA790}"/>
    <dataValidation allowBlank="1" showInputMessage="1" showErrorMessage="1" prompt="Insira a quantidade em estoque de cada item nesta coluna" sqref="C2:C3 G3 C26:C27 G27:G28" xr:uid="{0EDDB346-9C08-4A7D-90EF-B7DE614D6986}"/>
    <dataValidation allowBlank="1" showInputMessage="1" showErrorMessage="1" prompt="Insira a ID de estoque do item nesta coluna" sqref="A2:A3 E3 A26:A27 E27:E28" xr:uid="{C424344D-9845-470D-B154-B634BE59A3F1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5" id="{EB7E9FEB-962A-49B5-9989-A9AC62AA5748}">
            <xm:f>'Kit Drywall Estrutura 3°'!#REF!="Sim"</xm:f>
            <x14:dxf>
              <font>
                <strike/>
                <color theme="1" tint="0.34998626667073579"/>
              </font>
            </x14:dxf>
          </x14:cfRule>
          <xm:sqref>A3:C4</xm:sqref>
        </x14:conditionalFormatting>
        <x14:conditionalFormatting xmlns:xm="http://schemas.microsoft.com/office/excel/2006/main">
          <x14:cfRule type="expression" priority="43" id="{14D2EF06-5922-49A7-BD20-6D7ACB314D00}">
            <xm:f>'Kit Drywall Estrutura 3°'!#REF!="Sim"</xm:f>
            <x14:dxf>
              <font>
                <strike/>
                <color theme="1" tint="0.34998626667073579"/>
              </font>
            </x14:dxf>
          </x14:cfRule>
          <x14:cfRule type="expression" priority="44" id="{ABCC0580-6732-4E6A-BFC8-4702AD3B1E0F}">
            <xm:f>'Kit Drywall Estrutura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A5:C6</xm:sqref>
        </x14:conditionalFormatting>
        <x14:conditionalFormatting xmlns:xm="http://schemas.microsoft.com/office/excel/2006/main">
          <x14:cfRule type="expression" priority="47" id="{BC997A1D-DD5E-4079-BEB8-E98F0D53582E}">
            <xm:f>'Kit Drywall Estrutura 3°'!#REF!="Sim"</xm:f>
            <x14:dxf>
              <font>
                <strike/>
                <color theme="1" tint="0.34998626667073579"/>
              </font>
            </x14:dxf>
          </x14:cfRule>
          <xm:sqref>A7:C7</xm:sqref>
        </x14:conditionalFormatting>
        <x14:conditionalFormatting xmlns:xm="http://schemas.microsoft.com/office/excel/2006/main">
          <x14:cfRule type="expression" priority="35" id="{B94B3393-E51F-4EC5-A04E-434939CCEE4A}">
            <xm:f>'Kit Drywall Emplacamento 3°'!#REF!="Sim"</xm:f>
            <x14:dxf>
              <font>
                <strike/>
                <color theme="1" tint="0.34998626667073579"/>
              </font>
            </x14:dxf>
          </x14:cfRule>
          <x14:cfRule type="expression" priority="36" id="{1473383E-917F-4A00-94DC-4B5D3AE1F5E5}">
            <xm:f>'Kit Drywall Emplacamento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A13:B13 C13:C14 C24</xm:sqref>
        </x14:conditionalFormatting>
        <x14:conditionalFormatting xmlns:xm="http://schemas.microsoft.com/office/excel/2006/main">
          <x14:cfRule type="expression" priority="39" id="{ACB5C229-FA4D-4026-8FF9-A092D3599ABF}">
            <xm:f>'Kit Drywall Emplacamento 3°'!#REF!="Sim"</xm:f>
            <x14:dxf>
              <font>
                <strike/>
                <color theme="1" tint="0.34998626667073579"/>
              </font>
            </x14:dxf>
          </x14:cfRule>
          <x14:cfRule type="expression" priority="40" id="{75A5F7F9-0809-41C7-9DAB-4214976FDFB9}">
            <xm:f>'Kit Drywall Emplacamento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B14 A15:C15</xm:sqref>
        </x14:conditionalFormatting>
        <x14:conditionalFormatting xmlns:xm="http://schemas.microsoft.com/office/excel/2006/main">
          <x14:cfRule type="expression" priority="37" id="{3D970D2D-C7D3-4B63-90BE-84DB45E80A9C}">
            <xm:f>'Kit Drywall Emplacamento 3°'!#REF!="Sim"</xm:f>
            <x14:dxf>
              <font>
                <strike/>
                <color theme="1" tint="0.34998626667073579"/>
              </font>
            </x14:dxf>
          </x14:cfRule>
          <x14:cfRule type="expression" priority="38" id="{12D4FE8F-D950-4524-B154-73683C95591E}">
            <xm:f>'Kit Drywall Emplacamento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A16:B23</xm:sqref>
        </x14:conditionalFormatting>
        <x14:conditionalFormatting xmlns:xm="http://schemas.microsoft.com/office/excel/2006/main">
          <x14:cfRule type="expression" priority="33" id="{29F2464E-AD8F-4D27-928F-967F5E0964D3}">
            <xm:f>'Kit Drywall Emplacamento 3°'!#REF!="Sim"</xm:f>
            <x14:dxf>
              <font>
                <strike/>
                <color theme="1" tint="0.34998626667073579"/>
              </font>
            </x14:dxf>
          </x14:cfRule>
          <x14:cfRule type="expression" priority="34" id="{9FFBD27C-5447-4D29-B79E-8EACE66DEE34}">
            <xm:f>'Kit Drywall Emplacamento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C22:C24</xm:sqref>
        </x14:conditionalFormatting>
        <x14:conditionalFormatting xmlns:xm="http://schemas.microsoft.com/office/excel/2006/main">
          <x14:cfRule type="expression" priority="31" id="{A2098EB5-E8B7-4EE3-BBDD-A2DF22350717}">
            <xm:f>'Kit Drywall Emplacamento 2°-T'!#REF!="Sim"</xm:f>
            <x14:dxf>
              <font>
                <strike/>
                <color theme="1" tint="0.34998626667073579"/>
              </font>
            </x14:dxf>
          </x14:cfRule>
          <x14:cfRule type="expression" priority="32" id="{66437D85-6B89-4257-8E6B-DE60BB4067DD}">
            <xm:f>'Kit Drywall Emplacamento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A24:B24</xm:sqref>
        </x14:conditionalFormatting>
        <x14:conditionalFormatting xmlns:xm="http://schemas.microsoft.com/office/excel/2006/main">
          <x14:cfRule type="expression" priority="29" id="{BC783BF8-A41B-403D-B63A-D7CEB3DA0D7E}">
            <xm:f>'Kit Drywall Emplacamento 2°-T'!#REF!="Sim"</xm:f>
            <x14:dxf>
              <font>
                <strike/>
                <color theme="1" tint="0.34998626667073579"/>
              </font>
            </x14:dxf>
          </x14:cfRule>
          <x14:cfRule type="expression" priority="30" id="{072F9640-A638-424C-8661-9D0941E6B1C8}">
            <xm:f>'Kit Drywall Emplacamento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A24:B24</xm:sqref>
        </x14:conditionalFormatting>
        <x14:conditionalFormatting xmlns:xm="http://schemas.microsoft.com/office/excel/2006/main">
          <x14:cfRule type="expression" priority="27" id="{D640B64C-4680-4C32-B03F-CE5AE796E17F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28" id="{3883933C-1AF5-4DF6-8B53-F3C5C0068590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F21:G25 G14:G16 E17:G20 E4:G13</xm:sqref>
        </x14:conditionalFormatting>
        <x14:conditionalFormatting xmlns:xm="http://schemas.microsoft.com/office/excel/2006/main">
          <x14:cfRule type="expression" priority="25" id="{CE2CD719-7E25-4B81-918D-0CF18465A356}">
            <xm:f>'Kit Forro 3°'!#REF!="Sim"</xm:f>
            <x14:dxf>
              <font>
                <strike/>
                <color theme="1" tint="0.34998626667073579"/>
              </font>
            </x14:dxf>
          </x14:cfRule>
          <xm:sqref>F4 E5:E13</xm:sqref>
        </x14:conditionalFormatting>
        <x14:conditionalFormatting xmlns:xm="http://schemas.microsoft.com/office/excel/2006/main">
          <x14:cfRule type="expression" priority="19" id="{8DDB95DC-46A0-4FEB-BA7E-CD8E91D124BB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20" id="{8FE8CBDD-F245-45F2-B363-3FCA0B53BEB5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F14</xm:sqref>
        </x14:conditionalFormatting>
        <x14:conditionalFormatting xmlns:xm="http://schemas.microsoft.com/office/excel/2006/main">
          <x14:cfRule type="expression" priority="17" id="{DDDF183D-BF00-4242-AA3B-CAE8E9F432CF}">
            <xm:f>'Kit Forro 3°'!#REF!="Sim"</xm:f>
            <x14:dxf>
              <font>
                <strike/>
                <color theme="1" tint="0.34998626667073579"/>
              </font>
            </x14:dxf>
          </x14:cfRule>
          <x14:cfRule type="expression" priority="18" id="{9EED513E-F325-4A09-9FAA-14F5E99AAEAF}">
            <xm:f>'Kit Forro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F15:F16</xm:sqref>
        </x14:conditionalFormatting>
        <x14:conditionalFormatting xmlns:xm="http://schemas.microsoft.com/office/excel/2006/main">
          <x14:cfRule type="expression" priority="23" id="{6C1A4399-1C95-43D5-9270-55EBB39F64B1}">
            <xm:f>'Kit Forro 2°-T'!#REF!="Sim"</xm:f>
            <x14:dxf>
              <font>
                <strike/>
                <color theme="1" tint="0.34998626667073579"/>
              </font>
            </x14:dxf>
          </x14:cfRule>
          <x14:cfRule type="expression" priority="24" id="{CACC4308-0CA3-4D01-921F-49069CFACBEB}">
            <xm:f>'Kit Forro 2°-T'!#REF!=1</xm:f>
            <x14:dxf>
              <fill>
                <patternFill>
                  <bgColor theme="5" tint="0.79998168889431442"/>
                </patternFill>
              </fill>
            </x14:dxf>
          </x14:cfRule>
          <xm:sqref>E21:E25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4294D302FED478A6AB77DC9BB513D" ma:contentTypeVersion="18" ma:contentTypeDescription="Create a new document." ma:contentTypeScope="" ma:versionID="4cb5be103b09c7e9cc43fc757d81dbe0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18f1e82b9c6e89527ddd070234f772bd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91168-3577-4278-92EE-7E2DB9C465A9}"/>
</file>

<file path=customXml/itemProps2.xml><?xml version="1.0" encoding="utf-8"?>
<ds:datastoreItem xmlns:ds="http://schemas.openxmlformats.org/officeDocument/2006/customXml" ds:itemID="{81F3298A-223B-42B2-9FEF-AB506EA6B5F6}"/>
</file>

<file path=customXml/itemProps3.xml><?xml version="1.0" encoding="utf-8"?>
<ds:datastoreItem xmlns:ds="http://schemas.openxmlformats.org/officeDocument/2006/customXml" ds:itemID="{DE17AD16-C3BD-472A-B362-8A85F9557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Lima, Emerson de</cp:lastModifiedBy>
  <cp:revision/>
  <dcterms:created xsi:type="dcterms:W3CDTF">2018-08-16T20:38:17Z</dcterms:created>
  <dcterms:modified xsi:type="dcterms:W3CDTF">2026-05-21T19:56:46Z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0x010100A0C4294D302FED478A6AB77DC9BB513D</vt:lpwstr>
  </property>
  <property fmtid="{D5CDD505-2E9C-101B-9397-08002B2CF9AE}" pid="3" name="MediaServiceImageTags">
    <vt:lpwstr/>
  </property>
</Properties>
</file>