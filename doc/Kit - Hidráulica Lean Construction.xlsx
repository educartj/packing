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drawings/drawing11.xml" ContentType="application/vnd.openxmlformats-officedocument.drawing+xml"/>
  <Override PartName="/xl/tables/table10.xml" ContentType="application/vnd.openxmlformats-officedocument.spreadsheetml.table+xml"/>
  <Override PartName="/xl/drawings/drawing12.xml" ContentType="application/vnd.openxmlformats-officedocument.drawing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 filterPrivacy="1" codeName="EstaPastaDeTrabalho"/>
  <xr:revisionPtr revIDLastSave="6" documentId="13_ncr:1_{D1304676-2E03-4B73-AE2A-727A97DF5804}" xr6:coauthVersionLast="47" xr6:coauthVersionMax="47" xr10:uidLastSave="{AC9F6E54-E094-49E3-85D2-E31ADFC678D3}"/>
  <bookViews>
    <workbookView xWindow="-120" yWindow="-120" windowWidth="29040" windowHeight="15720" tabRatio="792" firstSheet="3" xr2:uid="{00000000-000D-0000-FFFF-FFFF00000000}"/>
  </bookViews>
  <sheets>
    <sheet name="Kit Infra 3°" sheetId="13" r:id="rId1"/>
    <sheet name="Kit Infra 2°-T" sheetId="4" r:id="rId2"/>
    <sheet name="Kit Sistema de Exaustão 3°" sheetId="15" r:id="rId3"/>
    <sheet name="Kit Sistemas de Exaustão 2°-T" sheetId="9" r:id="rId4"/>
    <sheet name="Kit Infra do Ar 3°" sheetId="14" r:id="rId5"/>
    <sheet name="Kit Infra do Ar 2°-T" sheetId="10" r:id="rId6"/>
    <sheet name="Kit Instalação de Ar 3°" sheetId="16" r:id="rId7"/>
    <sheet name="Kit Instalação de Ar 2°-T" sheetId="18" r:id="rId8"/>
    <sheet name="Kit Louças e Metais 3°" sheetId="17" r:id="rId9"/>
    <sheet name="Kit Louças e Metais 2°-T" sheetId="6" r:id="rId10"/>
    <sheet name="Kit  Oficina MPU" sheetId="8" r:id="rId11"/>
    <sheet name="Atico Abastecimento" sheetId="5" r:id="rId12"/>
    <sheet name="Atico Exaustão" sheetId="12" r:id="rId13"/>
  </sheets>
  <definedNames>
    <definedName name="_xlnm._FilterDatabase" localSheetId="0" hidden="1">'Kit Infra 3°'!$F$4:$G$83</definedName>
    <definedName name="_xlnm._FilterDatabase" localSheetId="5" hidden="1">'Kit Infra do Ar 2°-T'!#REF!</definedName>
    <definedName name="_xlnm._FilterDatabase" localSheetId="4" hidden="1">'Kit Infra do Ar 3°'!$J$2</definedName>
    <definedName name="_xlnm._FilterDatabase" localSheetId="6" hidden="1">'Kit Instalação de Ar 3°'!$F$3</definedName>
    <definedName name="_xlnm.Print_Area" localSheetId="0">'Kit Infra 3°'!$F$4:$H$70</definedName>
    <definedName name="RealceValor" localSheetId="11">IFERROR(IF('Atico Abastecimento'!$K$3="Sim", TRUE, FALSE),FALSE)</definedName>
    <definedName name="RealceValor" localSheetId="1">IFERROR(IF('Kit Infra 2°-T'!#REF!="Sim", TRUE, FALSE),FALSE)</definedName>
    <definedName name="RealceValor" localSheetId="0">IFERROR(IF('Kit Infra 3°'!#REF!="Sim", TRUE, FALSE),FALSE)</definedName>
    <definedName name="RealceValor" localSheetId="5">IFERROR(IF('Kit Infra do Ar 2°-T'!#REF!="Sim", TRUE, FALSE),FALSE)</definedName>
    <definedName name="RealceValor" localSheetId="4">IFERROR(IF('Kit Infra do Ar 3°'!$K$2="Sim", TRUE, FALSE),FALSE)</definedName>
    <definedName name="RealceValor" localSheetId="6">IFERROR(IF('Kit Instalação de Ar 3°'!$G$3="Sim", TRUE, FALSE),FALSE)</definedName>
    <definedName name="RealceValor" localSheetId="9">IFERROR(IF('Kit Louças e Metais 2°-T'!#REF!="Sim", TRUE, FALSE),FALSE)</definedName>
    <definedName name="RealceValor" localSheetId="8">IFERROR(IF('Kit Louças e Metais 3°'!#REF!="Sim", TRUE, FALSE),FALSE)</definedName>
    <definedName name="RealceValor" localSheetId="2">IFERROR(IF(#REF!="Sim", TRUE, FALSE),FALSE)</definedName>
    <definedName name="RealceValor">IFERROR(IF(#REF!="Sim", TRUE, FALSE),FALSE)</definedName>
    <definedName name="_xlnm.Print_Titles" localSheetId="11">'Atico Abastecimento'!$1:$4</definedName>
    <definedName name="_xlnm.Print_Titles" localSheetId="1">'Kit Infra 2°-T'!$1:$4</definedName>
    <definedName name="_xlnm.Print_Titles" localSheetId="0">'Kit Infra 3°'!$1:$4</definedName>
    <definedName name="_xlnm.Print_Titles" localSheetId="5">'Kit Infra do Ar 2°-T'!$1:$4</definedName>
    <definedName name="_xlnm.Print_Titles" localSheetId="4">'Kit Infra do Ar 3°'!$1:$3</definedName>
    <definedName name="_xlnm.Print_Titles" localSheetId="6">'Kit Instalação de Ar 3°'!$1:$4</definedName>
    <definedName name="_xlnm.Print_Titles" localSheetId="9">'Kit Louças e Metais 2°-T'!$1:$4</definedName>
    <definedName name="_xlnm.Print_Titles" localSheetId="8">'Kit Louças e Metais 3°'!$1:$4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7" l="1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</calcChain>
</file>

<file path=xl/sharedStrings.xml><?xml version="1.0" encoding="utf-8"?>
<sst xmlns="http://schemas.openxmlformats.org/spreadsheetml/2006/main" count="1365" uniqueCount="341">
  <si>
    <t>te</t>
  </si>
  <si>
    <t>c</t>
  </si>
  <si>
    <t>Kit Hidráulica Infra 3°</t>
  </si>
  <si>
    <t>Para reordenar</t>
  </si>
  <si>
    <t>Equipe</t>
  </si>
  <si>
    <t>Solicitante</t>
  </si>
  <si>
    <t>Código do Item</t>
  </si>
  <si>
    <t>Descrição (3° Andar)</t>
  </si>
  <si>
    <t>Dimensão</t>
  </si>
  <si>
    <t>TÊ: PPR, redução, 40 x 25 mm</t>
  </si>
  <si>
    <t>D2010</t>
  </si>
  <si>
    <t>JOELHO: PPR, 90° x 25 mm</t>
  </si>
  <si>
    <t>TÊ: PPR, 25 mm</t>
  </si>
  <si>
    <t>VÁLVULA: esfera, latão niquelado, 3/4” BSP IVM 12574</t>
  </si>
  <si>
    <t>ADAPTADOR: PPR macho, 25 mm x 3/4"</t>
  </si>
  <si>
    <t>COTOVELO: PPR, 90°, 40 mm</t>
  </si>
  <si>
    <t>COTOVELO: PPR, 90°, rosca macho, 25 mm x 3/4''</t>
  </si>
  <si>
    <t>ADAPTADOR: PPR, macho, 25 mm x 1/2"</t>
  </si>
  <si>
    <t>ADAPTADOR: PPR, roscável, fêmea, 25 mm x 1/2"</t>
  </si>
  <si>
    <t>COTOVELO: PPR, 90°, rosca macho, 25 mm x 1/2''</t>
  </si>
  <si>
    <t>BASE: p/ misturador monocomando, chuveiro, 3/4", lift</t>
  </si>
  <si>
    <t>COTOVELO; Soldável s/ Anel Bolsa x Bolsa em Cobre Ø 22mm</t>
  </si>
  <si>
    <t>CONECTOR; Soldável s/ Anel Bolsa x Rosca Macho em Bronze Ø 22mm x 3/4"</t>
  </si>
  <si>
    <t>ADAPTADOR: PPR, fix dry, fêmea, 20 mm x 1/2"</t>
  </si>
  <si>
    <t>BUCHA DE REDUÇÃO: PPR, 25 x 20 mm</t>
  </si>
  <si>
    <t>LUVA: PPR, 25 mm</t>
  </si>
  <si>
    <t>TUBO: PPR PN12.5, 25 mm, barra 3 m</t>
  </si>
  <si>
    <t>TUBO: PPR PN12, 40 mm, barra 3 m</t>
  </si>
  <si>
    <t>TUBO: PPR PN12, 63 mm, barra 3 m</t>
  </si>
  <si>
    <t>ABRACADEIRA; Tipo Ômega p/ Conduíte 3/4</t>
  </si>
  <si>
    <t>CONEXÃO: t, cromado, roscável, 1/2"</t>
  </si>
  <si>
    <t>TUBO: PPR PN20, 25 mm, barra 3 m</t>
  </si>
  <si>
    <t>REVESTIMENTO: elastomérico, 9 x Ø 28 mm, 2 m, AF, armaflex</t>
  </si>
  <si>
    <t>REVESTIMENTO: elastomérico, 9 x Ø 35 mm, 2 m, AF, armaflex</t>
  </si>
  <si>
    <t>DTIO - ESPUMA EXPANSIVA; Poliuretano Aerossol Profissional 500ml/480g</t>
  </si>
  <si>
    <t>DTIO - VÁLVULA: esfera, mini, MxF, 1/2", IVM 12698</t>
  </si>
  <si>
    <t>TUBO: PPR PN12, 50 mm, barra 3 m</t>
  </si>
  <si>
    <t>ADESIVO; p/ Isolantes Térmicos Flexíveis 900ml Armaflex</t>
  </si>
  <si>
    <t>CHUMBADOR: over head, mecânico, zincado, aço carbono, 1/4" x 33mm, chave 3/8"</t>
  </si>
  <si>
    <t>BARRA: roscada, zincada 1/4" x 3 m</t>
  </si>
  <si>
    <t>ARRUELA: zincada, lisa, 1/4" (6,35 mm)</t>
  </si>
  <si>
    <t>DTIO - PORCA: sextavada, zincada, 1/4"</t>
  </si>
  <si>
    <t>PERFILADO: perfurado, 38 x 38mm, 6 m, #18, zincado</t>
  </si>
  <si>
    <t> </t>
  </si>
  <si>
    <t>Esgoto e Ventilação</t>
  </si>
  <si>
    <t>JOELHO: PVC, esgoto, 90°, 50 mm</t>
  </si>
  <si>
    <t>D2020</t>
  </si>
  <si>
    <t>JOELHO: PVC, esgoto, 45°, 50 mm</t>
  </si>
  <si>
    <t>LUVA: PVC, esgoto, 100 mm</t>
  </si>
  <si>
    <t>JOELHO: PVC, esgoto, 90°, 100 mm</t>
  </si>
  <si>
    <t>TE: PVC, esgoto, 50 x 50 mm</t>
  </si>
  <si>
    <t xml:space="preserve">JUNÇÃO: PVC, esgoto, 50 x 50 mm </t>
  </si>
  <si>
    <t>LUVA: PVC, esgoto, 50 mm</t>
  </si>
  <si>
    <t>REDUÇÃO: PVC, esgoto, excêntrica, 100 x 50 mm</t>
  </si>
  <si>
    <t>ADAPTADOR: p/ lavadora roupas, branco, 40 mm</t>
  </si>
  <si>
    <t>DTIO - CORPO CAIXA SIFONADA: PVC esgoto n° 5 c/ 7 entradas Ø 150 mm x 150 mm x 50 mm</t>
  </si>
  <si>
    <t>JOELHO: PVC, esgoto, 90°, 40 mm, c/ anel de borracha</t>
  </si>
  <si>
    <t>JOELHO: PVC, esgoto, 90°, 40 mm</t>
  </si>
  <si>
    <t>REDUÇÃO: PVC, longa, esgoto, 50 x 40 mm</t>
  </si>
  <si>
    <t>JOELHO: PVC, esgoto, 45°, 40 mm</t>
  </si>
  <si>
    <t>TE: PVC, esgoto, 100 x 50 mm</t>
  </si>
  <si>
    <t>TUBO: PVC, esgoto, 150 mm, barra 6 m</t>
  </si>
  <si>
    <t>TUBO: PVC, esgoto, 40 mm, 6 m</t>
  </si>
  <si>
    <t>TUBO: PVC, esgoto, 50 mm, barra 6 m</t>
  </si>
  <si>
    <t>TUBO: PVC, esgoto, 100 mm, barra 6 m</t>
  </si>
  <si>
    <t>TÊ: PVC, esgoto, 100 x 100 mm</t>
  </si>
  <si>
    <t>LUVA DE CORRER: PVC, esgoto, 100 mm</t>
  </si>
  <si>
    <t>ABRAÇADEIRA: tipo ômega, p/ conduíte, 1 1/2" PZ</t>
  </si>
  <si>
    <t>BUCHA: plástica, fixação, 8 mm</t>
  </si>
  <si>
    <t>PARAFUSO; Zincado Cabeça Chata AA (Auto-atarraxante) Fenda Phillips 4,8 x 50 mm</t>
  </si>
  <si>
    <t>DTIO - ADESIVO: p/ tubos e conexões de PVC 175 g</t>
  </si>
  <si>
    <t>DTIO - ADESIVO: tubos e conexões de PVC 850g</t>
  </si>
  <si>
    <t>DTIO - SOLUÇÃO PREPARADORA: 1L p/ tubos e conexões de PVC</t>
  </si>
  <si>
    <t>SIFÃO: rígido p/ pia ABS, branco, 1.1/2" x 40 mm</t>
  </si>
  <si>
    <t>SIFÃO: simples, polipropileno, c/ saída p/ máquina de lavar, 40 mm</t>
  </si>
  <si>
    <t>DTIO - PORTA GRELHA: quadrado, p/ grelha quadrada, 150 mm, prata</t>
  </si>
  <si>
    <t>DTIO - GRELHA: quadrada inox Ø 150 mm com fecho c/ moldura</t>
  </si>
  <si>
    <t>Código</t>
  </si>
  <si>
    <t>AF e AQ  2º Andar</t>
  </si>
  <si>
    <t>AF e AQ 1º Andar</t>
  </si>
  <si>
    <t>AF e AQ Térreo</t>
  </si>
  <si>
    <t>TÊ: PPR, redução, 32 x 25 mm</t>
  </si>
  <si>
    <t>BUCHA DE REDUÇÃO: PPR, 40 x 32 mm</t>
  </si>
  <si>
    <t>LUVA: PPR, 32 mm</t>
  </si>
  <si>
    <t>LUVA: PPR, 40 mm</t>
  </si>
  <si>
    <t>TE: PPR, 32 mm</t>
  </si>
  <si>
    <t>28469
28469</t>
  </si>
  <si>
    <t>LUVA: PPR, 63 mm</t>
  </si>
  <si>
    <t>CONECTOR; Soldável s/ Anel Bolsa x Rosca Macho em Bronze Ø 28mm x 1"</t>
  </si>
  <si>
    <t>VÁLVULA: de retenção, tipo disco, c/ obturador em latão, Ø 1''</t>
  </si>
  <si>
    <t>REVESTIMENTO: elastomérico, 13 x Ø 54 mm, 2 m, AF, Armaflex</t>
  </si>
  <si>
    <t>DT+G39:H72IO - CORPO CAIXA SIFONADA: PVC esgoto n° 5 c/ 7 entradas Ø 150 mm x 150 mm x 50 mm</t>
  </si>
  <si>
    <t>VÁLVULA; de Retenção Horizontal 3/4" Latão com Portinhola</t>
  </si>
  <si>
    <t>JUNÇÃO: PVC, esgoto, 100 x 100 mm</t>
  </si>
  <si>
    <t>ABRAÇADEIRA: eletrolitica, tipo econômica, 1 1/2"</t>
  </si>
  <si>
    <t>JUNÇÃO: dupla, PVC, esgoto, 100 x 100 x100 mm</t>
  </si>
  <si>
    <t>NIPLE; Duplo Galvanizado Rosca BSP Ø 1"</t>
  </si>
  <si>
    <t>JOELHO: PVC, esgoto, 45°, 100 mm</t>
  </si>
  <si>
    <t>NIPLE: duplo, galvanizado, rosca BSP, Ø 3/4"</t>
  </si>
  <si>
    <t>VÁLVULA; Esfera Latão Niquelado, Ø 1” BSP</t>
  </si>
  <si>
    <t>LUVA DE CORRER: pvc, esgoto, 40 mm</t>
  </si>
  <si>
    <t>LUVA; de Correr PVC Esgoto Ø 50 mm</t>
  </si>
  <si>
    <t>JOELHO: PPR, 45° x 50 mm</t>
  </si>
  <si>
    <t>COTOVELO: PPR, 90°, verde, 50 mm</t>
  </si>
  <si>
    <t>TÊ: PPR, 50 mm</t>
  </si>
  <si>
    <t>TÊ: PPR, 63 mm</t>
  </si>
  <si>
    <t>BUCHA DE REDUÇÃO: PPR, 63 x 50 mm</t>
  </si>
  <si>
    <t>ADAPTADOR: transição, PPR, roscável, macho, 50 mm x 1.1/2"</t>
  </si>
  <si>
    <t>VÁLVULA: descarga DN40, 1.1/2</t>
  </si>
  <si>
    <t>TUBO; p/ válvula de descarga (Bengala) 38 mm (1.1/2")</t>
  </si>
  <si>
    <t>ACABAMENTO: p/ válvula de descarga Salvágua box, Chrome</t>
  </si>
  <si>
    <t>TUBO DE LIGAÇÃO; PVC Ajustável c/ Espude 38 x 90-250mm Cromado</t>
  </si>
  <si>
    <t>Antigo Kit Exaustão</t>
  </si>
  <si>
    <t xml:space="preserve">Kit Hidráulica Sistema de Exaustão 3° </t>
  </si>
  <si>
    <t xml:space="preserve">Descrição - 3° Andar </t>
  </si>
  <si>
    <t>Quantidade</t>
  </si>
  <si>
    <t xml:space="preserve">Dimensão </t>
  </si>
  <si>
    <t>Data de Entrega</t>
  </si>
  <si>
    <t>Quantidade a encomendar</t>
  </si>
  <si>
    <t>Tem Estoque?</t>
  </si>
  <si>
    <t>Tubo PVC Esgoto 150</t>
  </si>
  <si>
    <t>34D3050</t>
  </si>
  <si>
    <t>Tubo PVC Esgoto 100</t>
  </si>
  <si>
    <t>Tubo PVC Esgoto 75</t>
  </si>
  <si>
    <t>Luva PVC 100</t>
  </si>
  <si>
    <t>Luva PVC 150</t>
  </si>
  <si>
    <t>Joelho 150 90º</t>
  </si>
  <si>
    <t>Joelho 150 45º</t>
  </si>
  <si>
    <t>Joelho 100 90º</t>
  </si>
  <si>
    <t>Joelho 100 45º</t>
  </si>
  <si>
    <t>Luva Correr 150</t>
  </si>
  <si>
    <t>Presilha p/ cabo de aço</t>
  </si>
  <si>
    <t>Joelho 75 90º</t>
  </si>
  <si>
    <t>Joelho 75 45º</t>
  </si>
  <si>
    <t>Redução 150x100</t>
  </si>
  <si>
    <t>Redução 100x75</t>
  </si>
  <si>
    <t>TE 150 x150</t>
  </si>
  <si>
    <t xml:space="preserve">Luva simples 75 </t>
  </si>
  <si>
    <t xml:space="preserve"> </t>
  </si>
  <si>
    <t>Kit Hidráulica Sistemas de Exaustão 2°</t>
  </si>
  <si>
    <t>Kit Hidráulica Sistemas de Exaustão 1°</t>
  </si>
  <si>
    <t>Kit Hidráulica Sistemas de Exaustão Térreo</t>
  </si>
  <si>
    <t>Destacar itens para nova encomenda?</t>
  </si>
  <si>
    <t>Sim</t>
  </si>
  <si>
    <t>Descrição - 2° Andar</t>
  </si>
  <si>
    <t>Descrição 1° Andar</t>
  </si>
  <si>
    <t>Descrição - Térreo</t>
  </si>
  <si>
    <t>Tubo PVC Esgoto 150 (6 metros)</t>
  </si>
  <si>
    <t>Tubo PVC Esgoto 75 (6 metros)</t>
  </si>
  <si>
    <t>Luva de Correr 150</t>
  </si>
  <si>
    <t>Luva PVC 75</t>
  </si>
  <si>
    <t>Over Head</t>
  </si>
  <si>
    <t>Sistema de Exautão</t>
  </si>
  <si>
    <t>TE 100 x100</t>
  </si>
  <si>
    <t>Luva Correr 100</t>
  </si>
  <si>
    <t>Kit Hidráulica Infra do Ar-Condicionado 3°</t>
  </si>
  <si>
    <t>Descrição (infra 3° Andar)</t>
  </si>
  <si>
    <t>Coluna1</t>
  </si>
  <si>
    <t>Tubo de cobre p/Refrigeração  1/2</t>
  </si>
  <si>
    <t>100 m</t>
  </si>
  <si>
    <t>34D3030</t>
  </si>
  <si>
    <t>Tubo de cobre p/Refrigeração  1/4</t>
  </si>
  <si>
    <t>Tubo de cobre p/Refrigeração  3/8</t>
  </si>
  <si>
    <t>CABO ELÉTRICO; G7 Easy 3x2,5mm² CL5 1kV</t>
  </si>
  <si>
    <t>CABO ELÉTRICO; G7 Easy 4x1,5mm² CL5 1kV</t>
  </si>
  <si>
    <t>(18221) FITA; em PVC Branco p/ Isolamento em Refrigeração, 100 mm x 50 m</t>
  </si>
  <si>
    <t>20  rl</t>
  </si>
  <si>
    <t>(53270) DTIO - JOELHO: PVC soldável 90°, 25 mm</t>
  </si>
  <si>
    <t>(73228) REVESTIMENTO: isolante, branco, 10 mm x 2m Ø 13 mm (1/2")</t>
  </si>
  <si>
    <t>120 pc</t>
  </si>
  <si>
    <t>(66857) REVESTIMENTO: isolante, branco, 10 mm x 2m Ø 09 mm (3/8")</t>
  </si>
  <si>
    <t>80 pc</t>
  </si>
  <si>
    <t>(73223) REVESTIMENTO; Isolante Branco 10 mm x 2m Ø 06 mm (1/4")</t>
  </si>
  <si>
    <t>(66875) REVESTIMENTO: isolante, branco, 10 mm x 2m Ø 28 mm (1.1/8")</t>
  </si>
  <si>
    <t>30 pc</t>
  </si>
  <si>
    <t>(66572) DTIO - TUBO: PVC soldável marrom 6m Ø 25mm</t>
  </si>
  <si>
    <t>10 pc</t>
  </si>
  <si>
    <t>LUVA: PVC soldável, marrom, c/ rosca, 25 mm x 3/4</t>
  </si>
  <si>
    <t>15 und</t>
  </si>
  <si>
    <t>(13981) FITA ADESIVA; Aluminizada p/ Refrigeração 48 mm x 50 m</t>
  </si>
  <si>
    <t>3 rl</t>
  </si>
  <si>
    <t>2 und</t>
  </si>
  <si>
    <t>FITA: veda rosca, 18 mm x 25 m</t>
  </si>
  <si>
    <t>3 und</t>
  </si>
  <si>
    <t>N/A</t>
  </si>
  <si>
    <t>DTIO - CAIXA; Passagem Dreno Reversível p/ Evaporadora</t>
  </si>
  <si>
    <t>https://www.mercadolivre.com.br/up/MLBU2394887562?pdp_filters=item_id:MLB3881685517( por favor cadastrar esse item )</t>
  </si>
  <si>
    <t xml:space="preserve">Kit Hidráulica Infra do Ar Condicionado </t>
  </si>
  <si>
    <t>Descrição (infra 2° Andar - térreo)</t>
  </si>
  <si>
    <t>24 und</t>
  </si>
  <si>
    <t xml:space="preserve">Kit Hidráulica Instalação de Ar-Condicionado 3° </t>
  </si>
  <si>
    <t>Descrição - (instalação de ar 3° Andar)</t>
  </si>
  <si>
    <t>TERMINAL: forquilha, isolada, 16-14 AWG, 1,5 a 2,5 mm² azul</t>
  </si>
  <si>
    <t>(48343) TERMINAL: anel, isolado, 22-16 AWG, 0,5 a 1,5 mm², M6, vermelho</t>
  </si>
  <si>
    <t>SUPORTE; Plástico 500 mm p/ Condensadora até 30.000 BTU/h</t>
  </si>
  <si>
    <t>12 Und</t>
  </si>
  <si>
    <t>BICONDENSADORA: split, hi-wall, inverter, quente/frio, 18.000 btu/h, 220V</t>
  </si>
  <si>
    <t>10 und</t>
  </si>
  <si>
    <t>EVAPORADORA: split, hi-wall, inverter, quente/frio, 9.000 btu/h, 220V</t>
  </si>
  <si>
    <t>EVAPORADORA: split, hi-wall, inverter, quente/frio, 18.000 btu/h, 220V</t>
  </si>
  <si>
    <t>4 Und</t>
  </si>
  <si>
    <t>(98770) EVAPORADORA: split, Hi-Wall, inverter, quente/frio, 12000 BTU/h, 220 V</t>
  </si>
  <si>
    <t>6 und</t>
  </si>
  <si>
    <t>(53274) LIXA: p/ ferro, grão 80</t>
  </si>
  <si>
    <t>1 pct</t>
  </si>
  <si>
    <t>(25887) ARRUELA; Zincada Lisa Lanterneira 1/4"</t>
  </si>
  <si>
    <t>(62027) BUCHA: plástica, universal c/ anel, 8 mm, pacote c/ 1000 peças</t>
  </si>
  <si>
    <t xml:space="preserve">Parafuso chipboard cabeça chata fenda Philips 5,0 x 45mm </t>
  </si>
  <si>
    <t>200 um</t>
  </si>
  <si>
    <t>CONECTOR: emenda 0.2 - 4.0 mm ², tipo mola, 3 vias</t>
  </si>
  <si>
    <t>COLAR DE TOMADA: c/ redução, DN 150 mm x 2"</t>
  </si>
  <si>
    <t>DTIO - BUCHA DE redução: PVC, soldável, longa, 50 x 25mm</t>
  </si>
  <si>
    <t>DTIO - JOELHO: PVC soldável 90°, 25 mm</t>
  </si>
  <si>
    <t>50 pc</t>
  </si>
  <si>
    <t>DTIO - JOELHO: PVC soldável 45°, 25 mm</t>
  </si>
  <si>
    <t>15 pc</t>
  </si>
  <si>
    <t>DTIO - FITA ISOLANTE: antichama, 18 mm x 20 m, branca</t>
  </si>
  <si>
    <t>10 rl</t>
  </si>
  <si>
    <t>ABRAÇADEIRA: tipo ômega, p/ conduíte, 1 polegada PZ</t>
  </si>
  <si>
    <t>20 pc</t>
  </si>
  <si>
    <t>(96283) PROTETOR: salva pintura, plástico, c/ fita, 1,5 x 5 m, azul</t>
  </si>
  <si>
    <t>CHUMBADOR; CBA c/ Parafuso 1/4" X 3"</t>
  </si>
  <si>
    <t>100 pc</t>
  </si>
  <si>
    <t>Com base na req 270 - 808513</t>
  </si>
  <si>
    <t>PINO: montado, c/ arruela cônica 23 mm, p/ pistola Naja 40, 3.1 X 22 HP AR CON 23, c/ 100 peças</t>
  </si>
  <si>
    <t>ABRAÇADEIRA: tipo ômega, p/ conduíte, 2 1/2" PZ</t>
  </si>
  <si>
    <t>ADAPTADOR; PVC Soldável Curto 60 mm x 2"</t>
  </si>
  <si>
    <t>12 und</t>
  </si>
  <si>
    <t>BUCHA DE REDUÇÃO: PVC, soldável, longa, 60 x 25 mm</t>
  </si>
  <si>
    <t>Kit Hidráulica Instalação de Ar-Condicionado 2°-T</t>
  </si>
  <si>
    <t>Descrição 2°-T</t>
  </si>
  <si>
    <t>(78904) DTIO - PARAFUSO; Inox 304 Sextavado 3" x 5/16" Rosca Soberba</t>
  </si>
  <si>
    <t>Terminal WAGO - 3 VIAS 2,5mm</t>
  </si>
  <si>
    <t>Kit Hidráulica Louças e Metais 3°</t>
  </si>
  <si>
    <t>Descrição - Louças e metais  (3° Andar)</t>
  </si>
  <si>
    <t xml:space="preserve">KIT: bacia sanitária, convencional, assento pp, softclose, branco, CELITE, CITY </t>
  </si>
  <si>
    <t>34C1092</t>
  </si>
  <si>
    <t>Acabamento para Válvula de Descarga  Salvagua</t>
  </si>
  <si>
    <t>Misturador: monocomando, banheiro,  mesa, lift</t>
  </si>
  <si>
    <t xml:space="preserve">CUBA: retangular, banheiro, embutir, branca, 370 x 505 x 165 mm </t>
  </si>
  <si>
    <t>54632 Valvula de escoamento p/ cuba banheiro,  cromado, click</t>
  </si>
  <si>
    <t>PORTA TOALHA: 57 cm, hope, cromado</t>
  </si>
  <si>
    <t>Itens Pago por Lar de Betel (51000) Suprimentos e Bens de Pequeno Valor  (203) Bethel Office</t>
  </si>
  <si>
    <t>(91920) CABIDE: hotel, duplo, cromado, polido</t>
  </si>
  <si>
    <t xml:space="preserve">CUBA: aço inox, escovado, quadratino, 550 x 450 x 200 mm
</t>
  </si>
  <si>
    <t>ADAPTADOR: p/ máquina de lavar louça, com saída p/ sifão</t>
  </si>
  <si>
    <t>MISTURADOR: monocomando, mesa, p/ cozinha, cromado, beta</t>
  </si>
  <si>
    <t xml:space="preserve"> ACABAMENTO: p/ misturador monocomando, chuveiro, 3/4", lift</t>
  </si>
  <si>
    <t>TANQUE: de encaixe, aço inox acetinado, 40 x 40 cm, 25 L</t>
  </si>
  <si>
    <t xml:space="preserve"> Porta shampoo: linear, branco</t>
  </si>
  <si>
    <t xml:space="preserve"> Chuveiro: parede, cromado </t>
  </si>
  <si>
    <t xml:space="preserve"> Torneira de parede, p/ jardim</t>
  </si>
  <si>
    <t>SILICONE; Branco Antifungo Banheiro &amp; Cozinha 280 g Flexite Cascola</t>
  </si>
  <si>
    <t>SECADORA: de roupas, branca, frontal, 11,2 kg, MD100, 220 V</t>
  </si>
  <si>
    <t>34E1060</t>
  </si>
  <si>
    <t>LAVADORA: de roupas, branca, frontal 13 kg, MF200, 127 V</t>
  </si>
  <si>
    <t>KIT JUNÇÃO: p/ lavadora LFE11 e secadora roupas SFP12, modelo 41042367</t>
  </si>
  <si>
    <t xml:space="preserve">Kit Hidráulica Louças e Metais </t>
  </si>
  <si>
    <t>Descrição Louças e metais  (2° Andar - Terreo)</t>
  </si>
  <si>
    <t>Kit Hidráulica Oficina MPU</t>
  </si>
  <si>
    <t>Descrição - Oficina MPU</t>
  </si>
  <si>
    <t>PAINEL: MPU, 20 mm x 2,0 m x 1,2 m</t>
  </si>
  <si>
    <t>103084) PERFIL: U, ALU 20 mm, c/ 3 m</t>
  </si>
  <si>
    <t>98784) PERFIL: f, alumínio, p/ painel, 20 mm, cinza, c/ 3 m, F-C-04</t>
  </si>
  <si>
    <t>Perfil h MPU (perfil c/ 3m)</t>
  </si>
  <si>
    <t>(36707) JUNTAS: de conexão flexível p/ dutos, vinil reforçado, lona encerada, 45/100, 5 m</t>
  </si>
  <si>
    <t>PERFILADO: perfurado, chapa 20, 38 x 19 x 3000 mm</t>
  </si>
  <si>
    <t>(30668) PERFIL; p/ Duto PW-2 (1.92 kg/pc) Barra 3 m POWERMATIC 04.002.02.0003</t>
  </si>
  <si>
    <t>(98775) SELANTE: acrilico, p/ MPU, branco, 430 g</t>
  </si>
  <si>
    <t>CHAPA: aço galvanizada, nº 20, 1000 x 2000 mm</t>
  </si>
  <si>
    <t>Grelha Retorno Aleta Fixa 200x200 Alumínio Espacial</t>
  </si>
  <si>
    <t>s/código</t>
  </si>
  <si>
    <t>Grelha Retorno Aleta Fixa 200x100 Alumínio Espacial s/registro</t>
  </si>
  <si>
    <t>COLA: p/ painel MPU, lata c/ 2,8 kg</t>
  </si>
  <si>
    <t>Kit Hidráulica Infra Abastecimento Ático</t>
  </si>
  <si>
    <t>Descrição (Atico)</t>
  </si>
  <si>
    <t>Quantidade2</t>
  </si>
  <si>
    <t>Quantidade3</t>
  </si>
  <si>
    <t>Quantidade4</t>
  </si>
  <si>
    <t>Quantidade5</t>
  </si>
  <si>
    <t>TUBO: PPR PN12, 110 mm, barra 3 m</t>
  </si>
  <si>
    <t>34D2010</t>
  </si>
  <si>
    <t>LUVA: PPR, 110 mm</t>
  </si>
  <si>
    <t xml:space="preserve"> JOELHO: 45°, ppr, verde, 110 mm</t>
  </si>
  <si>
    <t xml:space="preserve"> COTOVELO: PPR, 90°, 110 mm</t>
  </si>
  <si>
    <t>TÊ: PPR, 110 mm</t>
  </si>
  <si>
    <t>BUCHA DE REDUÇÃO: PPR, 110 x 90 mm</t>
  </si>
  <si>
    <t xml:space="preserve">TÊ: PPR, 90 mm </t>
  </si>
  <si>
    <t>COTOVELO: PPR, 45°, 90 mm</t>
  </si>
  <si>
    <t>BUCHA DE REDUÇÃO: PPR, 110 x 50 mm</t>
  </si>
  <si>
    <t>BUCHA DE REDUÇÃO: PPR, 90 x 63 mm</t>
  </si>
  <si>
    <t xml:space="preserve"> TÊ: PPR, 50 mm</t>
  </si>
  <si>
    <t>BUCHA DE REDUÇÃO: PPR, 63 x 32 mm</t>
  </si>
  <si>
    <t>FLANGE: com colarinho, PPR 50mm, norma Ansi, classe 150</t>
  </si>
  <si>
    <t>VÁLVULA BORBOLETA; Tipo Wafer c/ Alavanca Disco/Haste Inox Vedação EPDM Ø 2"</t>
  </si>
  <si>
    <t>COTOVELO: PPR, 90°, 90 mm</t>
  </si>
  <si>
    <t>TUBO: PPR PN20, 90 mm, barra 3 m</t>
  </si>
  <si>
    <t xml:space="preserve"> BUCHA DE REDUÇÃO: PPR, 50 x 40 mm</t>
  </si>
  <si>
    <t>BUCHA DE REDUÇÃO: PPR, 50 x 25 mm</t>
  </si>
  <si>
    <t>COTOVELO: PPR, 90°, 25 mm</t>
  </si>
  <si>
    <t>COTOVELO: PPR, 45°, 25 mm</t>
  </si>
  <si>
    <t>TUBO: PPR PN12, 90 mm, barra 3 m</t>
  </si>
  <si>
    <t>FLANGE: com colarinho, PPR 90mm, norma ANSI, classe 150</t>
  </si>
  <si>
    <t>VÁLVULA BORBOLETA; Tipo Wafer c/ Alavanca Disco/Haste Inox Vedação EPDM Ø 3"</t>
  </si>
  <si>
    <t xml:space="preserve"> BUCHA DE REDUÇÃO: PPR, 110 x 63 mm</t>
  </si>
  <si>
    <t xml:space="preserve"> TÊ: PPR, 63 mm</t>
  </si>
  <si>
    <t xml:space="preserve"> COTOVELO: PPR, 90°, 63 mm</t>
  </si>
  <si>
    <t xml:space="preserve"> VÁLVULA BORBOLETA; Tipo Wafer c/ Alavanca Disco/Haste Inox Vedação EPDM Ø 2.1/2"</t>
  </si>
  <si>
    <t xml:space="preserve"> FLANGE: com colarinho, PPR 63mm, Norma ANSI, Classe 150</t>
  </si>
  <si>
    <t xml:space="preserve"> COTOVELO: PPR, 45°, 63 mm</t>
  </si>
  <si>
    <t>FLANGE: com colarinho, PPR 110mm norma ANSI, classe 150</t>
  </si>
  <si>
    <t>VÁLVULA BORBOLETA; Tipo Wafer c/ Alavanca Disco/Haste Inox Vedação EPDM Ø 4"</t>
  </si>
  <si>
    <t>TUBO; PVC Soldável Marrom 6M Ø 110 mm</t>
  </si>
  <si>
    <t>TUBO; PVC Soldável Marrom 6M Ø 85 mm</t>
  </si>
  <si>
    <t>JOELHO: PVC soldável 90°, 110 mm</t>
  </si>
  <si>
    <t>TE; PVC Soldável Ø 110 mm</t>
  </si>
  <si>
    <t>JOELHO: PVC soldável 90°, 85 mm</t>
  </si>
  <si>
    <t>LUVA: PVC, soldável, 110 mm</t>
  </si>
  <si>
    <t>LUVA: PVC, soldável, 85 mm</t>
  </si>
  <si>
    <t>JOELHO: PVC soldável 45°, 85 mm</t>
  </si>
  <si>
    <t>Kit Hidráulica Exaustão Ático</t>
  </si>
  <si>
    <t>Descrição - Atico</t>
  </si>
  <si>
    <t>Base pré Moldada 1500x1500 com 4 molas 100 Kg</t>
  </si>
  <si>
    <t>CHUMBADOR: passante, rosca externa, galvanizado, parabolt, 3/8" x 3.3/4"</t>
  </si>
  <si>
    <t>(98776) ADESIVO: isocinato, p/ perfil, 500 g, C-06-02</t>
  </si>
  <si>
    <t>(19646) SAPATA: rápida, base quadrada 4 furos, p/ perfilados</t>
  </si>
  <si>
    <t>(27778) CANTONEIRA: 2 furos e rasgo p/ perfilados PZ</t>
  </si>
  <si>
    <t>(98777) FITA: alumínio, MPU, 50 x 50 mm</t>
  </si>
  <si>
    <t xml:space="preserve">Olhal </t>
  </si>
  <si>
    <t>ABRAÇADEIRA; 140mm - 153mm 5.1/2" - 6" Regulável Aço Carbono Fita 14mm</t>
  </si>
  <si>
    <t>FITA ADESIVA; Aluminizada p/ Refrigeração 48 mm x 50 m</t>
  </si>
  <si>
    <t>Banda Acústica 48 x 4 mm</t>
  </si>
  <si>
    <t>PARAFUSO; Zincado Cabeça Francesa p/</t>
  </si>
  <si>
    <t>(38158) FILTRO: abs, carvão ativado, F760-610x610x292, modelo Cardu</t>
  </si>
  <si>
    <t>(44372) PORTA FILTROS: de carvão ativado, p/ montagem em dutos, vazão nominal 4000 m3/h, tamanho final 1428 x 804 x653, profund.292 mm, modelo Cardu</t>
  </si>
  <si>
    <t>Ventilador gabinete 3156 m³/h, 28,5 mmca</t>
  </si>
  <si>
    <t>Incidente: (3796005) RFQ:VENTILADOR: GCM-SF 400, gabinete, 3190 m³/h, 1343 rpm, 0,75 hp, 3Ø/220/60, IP55, OTAN, 807541</t>
  </si>
  <si>
    <t>(75188) DUTO; Flexível Ø 150 mm x 3m Semidec</t>
  </si>
  <si>
    <t>(32286) COLARINHO: MPU c/ registro, 6 ", 150 mm</t>
  </si>
  <si>
    <t xml:space="preserve">s/ código </t>
  </si>
  <si>
    <t>FIltro TROX G4 1x F754 592 x 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</si>
</sst>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37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0"/>
      <color theme="5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8"/>
      <color theme="3"/>
      <name val="Franklin Gothic Book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sz val="10"/>
      <color theme="1"/>
      <name val="Franklin Gothic Book"/>
      <scheme val="minor"/>
    </font>
    <font>
      <sz val="10"/>
      <color rgb="FF000000"/>
      <name val="Franklin Gothic Book"/>
      <family val="2"/>
    </font>
    <font>
      <sz val="11"/>
      <color rgb="FF000000"/>
      <name val="Franklin Gothic Book"/>
      <family val="2"/>
      <scheme val="minor"/>
    </font>
    <font>
      <sz val="11"/>
      <name val="Franklin Gothic Book"/>
      <family val="2"/>
      <scheme val="minor"/>
    </font>
    <font>
      <b/>
      <sz val="36"/>
      <color theme="3" tint="0.39997558519241921"/>
      <name val="Franklin Gothic Book"/>
      <family val="2"/>
      <scheme val="minor"/>
    </font>
    <font>
      <b/>
      <sz val="28"/>
      <color theme="3" tint="0.39997558519241921"/>
      <name val="Franklin Gothic Book"/>
      <family val="2"/>
      <scheme val="minor"/>
    </font>
    <font>
      <strike/>
      <sz val="10"/>
      <color theme="1"/>
      <name val="Franklin Gothic Book"/>
      <family val="2"/>
      <scheme val="minor"/>
    </font>
    <font>
      <u/>
      <sz val="11"/>
      <color theme="10"/>
      <name val="Franklin Gothic Book"/>
      <family val="2"/>
      <scheme val="minor"/>
    </font>
    <font>
      <sz val="11"/>
      <color rgb="FF000000"/>
      <name val="Aptos Narrow"/>
      <family val="2"/>
    </font>
    <font>
      <sz val="11"/>
      <color rgb="FF373433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0000"/>
      <name val="Aptos Narrow"/>
    </font>
    <font>
      <b/>
      <sz val="48"/>
      <color theme="3" tint="0.39997558519241921"/>
      <name val="Franklin Gothic Book"/>
      <family val="2"/>
      <scheme val="minor"/>
    </font>
    <font>
      <b/>
      <sz val="14"/>
      <color theme="1"/>
      <name val="Franklin Gothic Book"/>
      <family val="2"/>
      <scheme val="minor"/>
    </font>
    <font>
      <sz val="10"/>
      <color rgb="FF000000"/>
      <name val="Franklin Gothic Book"/>
    </font>
    <font>
      <sz val="11"/>
      <color theme="1"/>
      <name val="Franklin Gothic Book"/>
      <scheme val="minor"/>
    </font>
    <font>
      <b/>
      <sz val="18"/>
      <color theme="3" tint="0.39997558519241921"/>
      <name val="Franklin Gothic Book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3"/>
      </left>
      <right style="thin">
        <color theme="5" tint="0.59996337778862885"/>
      </right>
      <top style="thin">
        <color theme="3"/>
      </top>
      <bottom style="thin">
        <color theme="3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3"/>
      </top>
      <bottom style="thin">
        <color theme="3"/>
      </bottom>
      <diagonal/>
    </border>
    <border>
      <left style="thin">
        <color theme="5" tint="0.59996337778862885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6" tint="0.59996337778862885"/>
      </left>
      <right style="thin">
        <color theme="6" tint="0.59996337778862885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3"/>
      </left>
      <right style="thin">
        <color theme="6" tint="0.59996337778862885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6" tint="0.59996337778862885"/>
      </left>
      <right style="thin">
        <color theme="3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6" tint="0.59996337778862885"/>
      </left>
      <right style="thin">
        <color theme="6" tint="0.59996337778862885"/>
      </right>
      <top style="thin">
        <color theme="6" tint="0.59996337778862885"/>
      </top>
      <bottom style="thick">
        <color theme="3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55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1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right" vertical="center" inden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0" fontId="1" fillId="33" borderId="0" xfId="0" applyFont="1" applyFill="1" applyAlignment="1">
      <alignment vertical="center"/>
    </xf>
    <xf numFmtId="0" fontId="15" fillId="34" borderId="10" xfId="0" applyFont="1" applyFill="1" applyBorder="1" applyAlignment="1">
      <alignment horizontal="center" vertical="center" wrapText="1"/>
    </xf>
    <xf numFmtId="0" fontId="15" fillId="34" borderId="11" xfId="0" applyFont="1" applyFill="1" applyBorder="1" applyAlignment="1">
      <alignment horizontal="center" vertical="center" wrapText="1"/>
    </xf>
    <xf numFmtId="0" fontId="15" fillId="34" borderId="12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indent="1"/>
    </xf>
    <xf numFmtId="0" fontId="1" fillId="0" borderId="13" xfId="0" applyFont="1" applyBorder="1" applyAlignment="1">
      <alignment horizontal="left" vertical="center" indent="1"/>
    </xf>
    <xf numFmtId="0" fontId="1" fillId="0" borderId="15" xfId="0" applyFont="1" applyBorder="1" applyAlignment="1">
      <alignment horizontal="right" vertical="center" indent="1"/>
    </xf>
    <xf numFmtId="0" fontId="1" fillId="0" borderId="13" xfId="0" applyFont="1" applyBorder="1" applyAlignment="1">
      <alignment horizontal="right" vertical="center" indent="1"/>
    </xf>
    <xf numFmtId="0" fontId="1" fillId="35" borderId="13" xfId="0" applyFont="1" applyFill="1" applyBorder="1" applyAlignment="1">
      <alignment horizontal="left" vertical="center" indent="1"/>
    </xf>
    <xf numFmtId="0" fontId="1" fillId="35" borderId="13" xfId="0" applyFont="1" applyFill="1" applyBorder="1" applyAlignment="1">
      <alignment horizontal="right" vertical="center" inden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 indent="1"/>
    </xf>
    <xf numFmtId="0" fontId="20" fillId="0" borderId="0" xfId="0" applyFont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9" xfId="0" applyBorder="1" applyAlignment="1">
      <alignment horizontal="center"/>
    </xf>
    <xf numFmtId="0" fontId="1" fillId="33" borderId="16" xfId="0" applyFont="1" applyFill="1" applyBorder="1" applyAlignment="1">
      <alignment horizontal="left" vertical="center" indent="1"/>
    </xf>
    <xf numFmtId="0" fontId="1" fillId="33" borderId="16" xfId="0" applyFont="1" applyFill="1" applyBorder="1" applyAlignment="1">
      <alignment horizontal="right" vertical="center" indent="1"/>
    </xf>
    <xf numFmtId="11" fontId="1" fillId="35" borderId="13" xfId="0" applyNumberFormat="1" applyFont="1" applyFill="1" applyBorder="1" applyAlignment="1">
      <alignment horizontal="right" vertical="center" indent="1"/>
    </xf>
    <xf numFmtId="11" fontId="1" fillId="0" borderId="13" xfId="0" applyNumberFormat="1" applyFont="1" applyBorder="1" applyAlignment="1">
      <alignment horizontal="right" vertical="center" indent="1"/>
    </xf>
    <xf numFmtId="0" fontId="0" fillId="0" borderId="22" xfId="0" applyBorder="1"/>
    <xf numFmtId="0" fontId="1" fillId="36" borderId="13" xfId="0" applyFont="1" applyFill="1" applyBorder="1" applyAlignment="1">
      <alignment horizontal="left" vertical="center" indent="1"/>
    </xf>
    <xf numFmtId="0" fontId="0" fillId="35" borderId="23" xfId="0" applyFill="1" applyBorder="1"/>
    <xf numFmtId="0" fontId="1" fillId="33" borderId="0" xfId="0" applyFont="1" applyFill="1"/>
    <xf numFmtId="0" fontId="1" fillId="33" borderId="0" xfId="0" applyFont="1" applyFill="1" applyAlignment="1">
      <alignment horizontal="center" vertical="center"/>
    </xf>
    <xf numFmtId="0" fontId="1" fillId="33" borderId="0" xfId="0" applyFont="1" applyFill="1" applyAlignment="1">
      <alignment horizontal="center"/>
    </xf>
    <xf numFmtId="0" fontId="1" fillId="33" borderId="0" xfId="0" applyFont="1" applyFill="1" applyAlignment="1">
      <alignment horizontal="right" indent="1"/>
    </xf>
    <xf numFmtId="0" fontId="1" fillId="33" borderId="0" xfId="0" applyFont="1" applyFill="1" applyAlignment="1">
      <alignment horizontal="right" vertical="center"/>
    </xf>
    <xf numFmtId="0" fontId="2" fillId="33" borderId="0" xfId="0" applyFont="1" applyFill="1" applyAlignment="1">
      <alignment horizontal="right" vertical="center"/>
    </xf>
    <xf numFmtId="0" fontId="2" fillId="33" borderId="0" xfId="0" applyFont="1" applyFill="1" applyAlignment="1">
      <alignment horizontal="left" vertical="center" indent="1"/>
    </xf>
    <xf numFmtId="0" fontId="0" fillId="33" borderId="0" xfId="0" applyFill="1" applyAlignment="1">
      <alignment horizontal="center" vertical="center" wrapText="1"/>
    </xf>
    <xf numFmtId="0" fontId="1" fillId="33" borderId="0" xfId="0" applyFont="1" applyFill="1" applyAlignment="1">
      <alignment horizontal="left" vertical="center" indent="1"/>
    </xf>
    <xf numFmtId="0" fontId="1" fillId="33" borderId="0" xfId="0" applyFont="1" applyFill="1" applyAlignment="1">
      <alignment horizontal="right" vertical="center" indent="1"/>
    </xf>
    <xf numFmtId="14" fontId="1" fillId="33" borderId="0" xfId="0" applyNumberFormat="1" applyFont="1" applyFill="1" applyAlignment="1">
      <alignment horizontal="right" vertical="center" indent="1"/>
    </xf>
    <xf numFmtId="0" fontId="1" fillId="0" borderId="16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right" vertical="center" indent="1"/>
    </xf>
    <xf numFmtId="0" fontId="1" fillId="35" borderId="15" xfId="0" applyFont="1" applyFill="1" applyBorder="1" applyAlignment="1">
      <alignment horizontal="right" vertical="center" indent="1"/>
    </xf>
    <xf numFmtId="0" fontId="22" fillId="0" borderId="18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21" xfId="0" applyFont="1" applyBorder="1" applyAlignment="1">
      <alignment horizontal="left"/>
    </xf>
    <xf numFmtId="0" fontId="22" fillId="0" borderId="22" xfId="0" applyFont="1" applyBorder="1" applyAlignment="1">
      <alignment horizontal="left"/>
    </xf>
    <xf numFmtId="0" fontId="1" fillId="36" borderId="13" xfId="0" applyFont="1" applyFill="1" applyBorder="1" applyAlignment="1">
      <alignment horizontal="right" vertical="center" indent="1"/>
    </xf>
    <xf numFmtId="11" fontId="26" fillId="35" borderId="13" xfId="0" applyNumberFormat="1" applyFont="1" applyFill="1" applyBorder="1" applyAlignment="1">
      <alignment horizontal="right" vertical="center" indent="1"/>
    </xf>
    <xf numFmtId="0" fontId="1" fillId="33" borderId="13" xfId="0" applyFont="1" applyFill="1" applyBorder="1" applyAlignment="1">
      <alignment horizontal="right" vertical="center" indent="1"/>
    </xf>
    <xf numFmtId="0" fontId="1" fillId="36" borderId="0" xfId="0" applyFont="1" applyFill="1" applyAlignment="1">
      <alignment vertical="center"/>
    </xf>
    <xf numFmtId="0" fontId="27" fillId="0" borderId="0" xfId="54" applyAlignment="1">
      <alignment vertical="center"/>
    </xf>
    <xf numFmtId="0" fontId="28" fillId="0" borderId="29" xfId="0" applyFont="1" applyBorder="1"/>
    <xf numFmtId="0" fontId="28" fillId="0" borderId="30" xfId="0" applyFont="1" applyBorder="1"/>
    <xf numFmtId="0" fontId="29" fillId="0" borderId="30" xfId="0" applyFont="1" applyBorder="1"/>
    <xf numFmtId="0" fontId="28" fillId="0" borderId="30" xfId="0" applyFont="1" applyBorder="1" applyAlignment="1">
      <alignment wrapText="1"/>
    </xf>
    <xf numFmtId="0" fontId="28" fillId="0" borderId="33" xfId="0" applyFont="1" applyBorder="1"/>
    <xf numFmtId="0" fontId="28" fillId="0" borderId="34" xfId="0" applyFont="1" applyBorder="1"/>
    <xf numFmtId="0" fontId="30" fillId="37" borderId="0" xfId="0" applyFont="1" applyFill="1"/>
    <xf numFmtId="0" fontId="28" fillId="0" borderId="40" xfId="0" applyFont="1" applyBorder="1"/>
    <xf numFmtId="0" fontId="28" fillId="0" borderId="35" xfId="0" applyFont="1" applyBorder="1"/>
    <xf numFmtId="0" fontId="28" fillId="0" borderId="38" xfId="0" applyFont="1" applyBorder="1"/>
    <xf numFmtId="0" fontId="28" fillId="0" borderId="31" xfId="0" applyFont="1" applyBorder="1"/>
    <xf numFmtId="0" fontId="28" fillId="0" borderId="32" xfId="0" applyFont="1" applyBorder="1"/>
    <xf numFmtId="0" fontId="28" fillId="0" borderId="42" xfId="0" applyFont="1" applyBorder="1"/>
    <xf numFmtId="0" fontId="28" fillId="0" borderId="43" xfId="0" applyFont="1" applyBorder="1"/>
    <xf numFmtId="0" fontId="28" fillId="0" borderId="29" xfId="0" applyFont="1" applyBorder="1" applyAlignment="1">
      <alignment wrapText="1"/>
    </xf>
    <xf numFmtId="0" fontId="30" fillId="0" borderId="44" xfId="0" applyFont="1" applyBorder="1"/>
    <xf numFmtId="0" fontId="30" fillId="37" borderId="46" xfId="0" applyFont="1" applyFill="1" applyBorder="1"/>
    <xf numFmtId="0" fontId="28" fillId="0" borderId="0" xfId="0" applyFont="1"/>
    <xf numFmtId="0" fontId="28" fillId="0" borderId="48" xfId="0" applyFont="1" applyBorder="1"/>
    <xf numFmtId="0" fontId="28" fillId="0" borderId="44" xfId="0" applyFont="1" applyBorder="1"/>
    <xf numFmtId="0" fontId="28" fillId="0" borderId="50" xfId="0" applyFont="1" applyBorder="1"/>
    <xf numFmtId="0" fontId="28" fillId="0" borderId="51" xfId="0" applyFont="1" applyBorder="1"/>
    <xf numFmtId="0" fontId="28" fillId="0" borderId="52" xfId="0" applyFont="1" applyBorder="1"/>
    <xf numFmtId="0" fontId="28" fillId="0" borderId="53" xfId="0" applyFont="1" applyBorder="1"/>
    <xf numFmtId="0" fontId="28" fillId="0" borderId="54" xfId="0" applyFont="1" applyBorder="1"/>
    <xf numFmtId="0" fontId="28" fillId="0" borderId="55" xfId="0" applyFont="1" applyBorder="1"/>
    <xf numFmtId="0" fontId="28" fillId="0" borderId="56" xfId="0" applyFont="1" applyBorder="1"/>
    <xf numFmtId="0" fontId="28" fillId="0" borderId="57" xfId="0" applyFont="1" applyBorder="1"/>
    <xf numFmtId="0" fontId="28" fillId="0" borderId="36" xfId="0" applyFont="1" applyBorder="1"/>
    <xf numFmtId="0" fontId="28" fillId="0" borderId="58" xfId="0" applyFont="1" applyBorder="1"/>
    <xf numFmtId="0" fontId="28" fillId="0" borderId="37" xfId="0" applyFont="1" applyBorder="1"/>
    <xf numFmtId="0" fontId="28" fillId="0" borderId="59" xfId="0" applyFont="1" applyBorder="1"/>
    <xf numFmtId="0" fontId="28" fillId="0" borderId="60" xfId="0" applyFont="1" applyBorder="1"/>
    <xf numFmtId="0" fontId="28" fillId="0" borderId="46" xfId="0" applyFont="1" applyBorder="1"/>
    <xf numFmtId="0" fontId="28" fillId="0" borderId="61" xfId="0" applyFont="1" applyBorder="1"/>
    <xf numFmtId="0" fontId="28" fillId="0" borderId="62" xfId="0" applyFont="1" applyBorder="1"/>
    <xf numFmtId="0" fontId="28" fillId="0" borderId="63" xfId="0" applyFont="1" applyBorder="1"/>
    <xf numFmtId="0" fontId="23" fillId="33" borderId="0" xfId="47" applyFill="1"/>
    <xf numFmtId="0" fontId="23" fillId="33" borderId="0" xfId="47" applyFill="1" applyAlignment="1">
      <alignment wrapText="1"/>
    </xf>
    <xf numFmtId="0" fontId="30" fillId="37" borderId="64" xfId="0" applyFont="1" applyFill="1" applyBorder="1"/>
    <xf numFmtId="0" fontId="28" fillId="0" borderId="41" xfId="0" applyFont="1" applyBorder="1"/>
    <xf numFmtId="0" fontId="28" fillId="0" borderId="66" xfId="0" applyFont="1" applyBorder="1"/>
    <xf numFmtId="0" fontId="28" fillId="0" borderId="27" xfId="0" applyFont="1" applyBorder="1"/>
    <xf numFmtId="0" fontId="28" fillId="0" borderId="67" xfId="0" applyFont="1" applyBorder="1"/>
    <xf numFmtId="0" fontId="28" fillId="0" borderId="68" xfId="0" applyFont="1" applyBorder="1"/>
    <xf numFmtId="0" fontId="28" fillId="0" borderId="69" xfId="0" applyFont="1" applyBorder="1"/>
    <xf numFmtId="0" fontId="28" fillId="0" borderId="65" xfId="0" applyFont="1" applyBorder="1"/>
    <xf numFmtId="0" fontId="21" fillId="0" borderId="15" xfId="0" applyFont="1" applyBorder="1" applyAlignment="1">
      <alignment horizontal="center" vertical="center"/>
    </xf>
    <xf numFmtId="0" fontId="21" fillId="35" borderId="15" xfId="0" applyFont="1" applyFill="1" applyBorder="1" applyAlignment="1">
      <alignment horizontal="center" vertical="center"/>
    </xf>
    <xf numFmtId="0" fontId="1" fillId="0" borderId="65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30" fillId="38" borderId="27" xfId="0" applyFont="1" applyFill="1" applyBorder="1"/>
    <xf numFmtId="0" fontId="30" fillId="38" borderId="35" xfId="0" applyFont="1" applyFill="1" applyBorder="1"/>
    <xf numFmtId="0" fontId="28" fillId="38" borderId="66" xfId="0" applyFont="1" applyFill="1" applyBorder="1"/>
    <xf numFmtId="0" fontId="28" fillId="38" borderId="30" xfId="0" applyFont="1" applyFill="1" applyBorder="1"/>
    <xf numFmtId="0" fontId="1" fillId="0" borderId="70" xfId="0" applyFont="1" applyBorder="1" applyAlignment="1">
      <alignment vertical="center"/>
    </xf>
    <xf numFmtId="0" fontId="15" fillId="34" borderId="0" xfId="0" applyFont="1" applyFill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vertical="center"/>
    </xf>
    <xf numFmtId="0" fontId="34" fillId="0" borderId="0" xfId="54" applyFont="1" applyAlignment="1">
      <alignment vertical="center"/>
    </xf>
    <xf numFmtId="14" fontId="1" fillId="0" borderId="0" xfId="0" applyNumberFormat="1" applyFont="1" applyAlignment="1">
      <alignment horizontal="right" vertical="center" indent="1"/>
    </xf>
    <xf numFmtId="0" fontId="35" fillId="0" borderId="0" xfId="0" applyFont="1" applyAlignment="1">
      <alignment horizontal="center" vertical="center" wrapText="1"/>
    </xf>
    <xf numFmtId="0" fontId="1" fillId="35" borderId="0" xfId="0" applyFont="1" applyFill="1" applyAlignment="1">
      <alignment horizontal="right" vertical="center" indent="1"/>
    </xf>
    <xf numFmtId="0" fontId="0" fillId="33" borderId="24" xfId="0" applyFill="1" applyBorder="1"/>
    <xf numFmtId="0" fontId="0" fillId="33" borderId="21" xfId="0" applyFill="1" applyBorder="1"/>
    <xf numFmtId="0" fontId="0" fillId="33" borderId="18" xfId="0" applyFill="1" applyBorder="1" applyAlignment="1">
      <alignment horizontal="center"/>
    </xf>
    <xf numFmtId="0" fontId="1" fillId="33" borderId="0" xfId="0" applyFont="1" applyFill="1" applyAlignment="1">
      <alignment horizontal="left" vertical="center"/>
    </xf>
    <xf numFmtId="0" fontId="33" fillId="33" borderId="0" xfId="0" applyFont="1" applyFill="1" applyAlignment="1">
      <alignment horizontal="right" indent="1"/>
    </xf>
    <xf numFmtId="0" fontId="1" fillId="33" borderId="0" xfId="0" applyFont="1" applyFill="1" applyAlignment="1">
      <alignment horizontal="left" indent="1"/>
    </xf>
    <xf numFmtId="11" fontId="1" fillId="0" borderId="0" xfId="0" applyNumberFormat="1" applyFont="1" applyAlignment="1">
      <alignment horizontal="right" vertical="center" indent="1"/>
    </xf>
    <xf numFmtId="0" fontId="25" fillId="0" borderId="0" xfId="0" applyFont="1" applyAlignment="1">
      <alignment vertical="center"/>
    </xf>
    <xf numFmtId="0" fontId="15" fillId="34" borderId="12" xfId="0" applyFont="1" applyFill="1" applyBorder="1" applyAlignment="1">
      <alignment horizontal="left" vertical="center" wrapText="1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0" xfId="0" applyAlignment="1">
      <alignment horizontal="left"/>
    </xf>
    <xf numFmtId="0" fontId="28" fillId="38" borderId="32" xfId="0" applyFont="1" applyFill="1" applyBorder="1"/>
    <xf numFmtId="0" fontId="30" fillId="38" borderId="37" xfId="0" applyFont="1" applyFill="1" applyBorder="1"/>
    <xf numFmtId="0" fontId="25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0" fillId="37" borderId="26" xfId="0" applyFont="1" applyFill="1" applyBorder="1" applyAlignment="1"/>
    <xf numFmtId="0" fontId="30" fillId="37" borderId="0" xfId="0" applyFont="1" applyFill="1" applyAlignment="1"/>
    <xf numFmtId="0" fontId="30" fillId="37" borderId="47" xfId="0" applyFont="1" applyFill="1" applyBorder="1" applyAlignment="1"/>
    <xf numFmtId="0" fontId="30" fillId="37" borderId="45" xfId="0" applyFont="1" applyFill="1" applyBorder="1" applyAlignment="1"/>
    <xf numFmtId="0" fontId="31" fillId="37" borderId="28" xfId="0" applyFont="1" applyFill="1" applyBorder="1" applyAlignment="1"/>
    <xf numFmtId="0" fontId="31" fillId="37" borderId="49" xfId="0" applyFont="1" applyFill="1" applyBorder="1" applyAlignment="1"/>
    <xf numFmtId="0" fontId="30" fillId="37" borderId="39" xfId="0" applyFont="1" applyFill="1" applyBorder="1" applyAlignment="1"/>
    <xf numFmtId="0" fontId="30" fillId="37" borderId="46" xfId="0" applyFont="1" applyFill="1" applyBorder="1" applyAlignment="1"/>
  </cellXfs>
  <cellStyles count="55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Hyperlink" xfId="54" xr:uid="{00000000-000B-0000-0000-000008000000}"/>
    <cellStyle name="Moeda" xfId="3" builtinId="4" customBuiltin="1"/>
    <cellStyle name="Moeda [0]" xfId="4" builtinId="7" customBuiltin="1"/>
    <cellStyle name="Moeda [0] 2" xfId="51" xr:uid="{E462FB9E-7FFF-49E9-B023-D72DD0CA965B}"/>
    <cellStyle name="Moeda 2" xfId="50" xr:uid="{29556DBC-2D94-43E9-9C8D-CCED5CF729EF}"/>
    <cellStyle name="Moeda 3" xfId="53" xr:uid="{56D25DA6-EFEB-44BD-9872-321B10398019}"/>
    <cellStyle name="Moeda 4" xfId="52" xr:uid="{076A0689-9ED2-4AD9-A1D1-90EFA7B83E7E}"/>
    <cellStyle name="Neutro" xfId="13" builtinId="28" customBuiltin="1"/>
    <cellStyle name="Normal" xfId="0" builtinId="0" customBuiltin="1"/>
    <cellStyle name="Normal 2" xfId="47" xr:uid="{CF7741A0-50AE-4E20-9F5E-F35C2D63C7A3}"/>
    <cellStyle name="Nota" xfId="20" builtinId="10" customBuiltin="1"/>
    <cellStyle name="Porcentagem" xfId="5" builtinId="5" customBuiltin="1"/>
    <cellStyle name="Ruim" xfId="12" builtinId="27" customBuiltin="1"/>
    <cellStyle name="Saída" xfId="15" builtinId="21" customBuiltin="1"/>
    <cellStyle name="Separador de milhares [0]" xfId="2" builtinId="6" customBuiltin="1"/>
    <cellStyle name="Separador de milhares [0] 2" xfId="49" xr:uid="{5D41160F-C392-4EB0-8FAD-A13EA171234D}"/>
    <cellStyle name="Texto de Aviso" xfId="19" builtinId="11" customBuiltin="1"/>
    <cellStyle name="Texto Explicativo" xfId="21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2" builtinId="25" customBuiltin="1"/>
    <cellStyle name="Vírgula" xfId="1" builtinId="3" customBuiltin="1"/>
    <cellStyle name="Vírgula 2" xfId="48" xr:uid="{F1A9AEF2-DEB4-45BC-A8F7-AC6E904588B9}"/>
  </cellStyles>
  <dxfs count="208"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  <border diagonalUp="0" diagonalDown="0">
        <left style="thin">
          <color theme="6" tint="0.59996337778862885"/>
        </left>
        <right style="thin">
          <color theme="3"/>
        </right>
        <top style="thin">
          <color theme="6" tint="0.59996337778862885"/>
        </top>
        <bottom style="thin">
          <color theme="6" tint="0.599963377788628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  <border diagonalUp="0" diagonalDown="0">
        <left style="thin">
          <color theme="6" tint="0.59996337778862885"/>
        </left>
        <right style="thin">
          <color theme="6" tint="0.59996337778862885"/>
        </right>
        <top style="thin">
          <color theme="6" tint="0.59996337778862885"/>
        </top>
        <bottom style="thin">
          <color theme="6" tint="0.599963377788628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  <border diagonalUp="0" diagonalDown="0">
        <left style="thin">
          <color theme="3"/>
        </left>
        <right style="thin">
          <color theme="6" tint="0.59996337778862885"/>
        </right>
        <top style="thin">
          <color theme="6" tint="0.59996337778862885"/>
        </top>
        <bottom style="thin">
          <color theme="6" tint="0.599963377788628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fill>
        <patternFill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fill>
        <patternFill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fill>
        <patternFill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Tabela de empresas" pivot="0" count="3" xr9:uid="{00000000-0011-0000-FFFF-FFFF00000000}">
      <tableStyleElement type="wholeTable" dxfId="207"/>
      <tableStyleElement type="headerRow" dxfId="206"/>
      <tableStyleElement type="secondRowStripe" dxfId="20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146049</xdr:colOff>
      <xdr:row>0</xdr:row>
      <xdr:rowOff>152400</xdr:rowOff>
    </xdr:from>
    <xdr:ext cx="3201308" cy="1332912"/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3F6A9F2C-851C-4D13-A17F-B88D52D485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201308" cy="1332912"/>
        </a:xfrm>
        <a:prstGeom prst="rect">
          <a:avLst/>
        </a:prstGeom>
      </xdr:spPr>
    </xdr:pic>
    <xdr:clientData/>
  </xdr:one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72BBA13-3EC3-422B-8233-398E7CF194EF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146049</xdr:colOff>
      <xdr:row>0</xdr:row>
      <xdr:rowOff>152400</xdr:rowOff>
    </xdr:from>
    <xdr:to>
      <xdr:col>6</xdr:col>
      <xdr:colOff>1674132</xdr:colOff>
      <xdr:row>1</xdr:row>
      <xdr:rowOff>2133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66BEE3F4-8568-4EF6-9FE6-E9079D0D7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155951" cy="1322933"/>
        </a:xfrm>
        <a:prstGeom prst="rect">
          <a:avLst/>
        </a:prstGeom>
      </xdr:spPr>
    </xdr:pic>
    <xdr:clientData/>
  </xdr:two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B88F0B8-5B10-44E5-9CE9-2BF06F8BE8C8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906</xdr:colOff>
      <xdr:row>0</xdr:row>
      <xdr:rowOff>152401</xdr:rowOff>
    </xdr:from>
    <xdr:ext cx="3032578" cy="1597479"/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037B46CF-1993-4A0C-B276-B989E1E96B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53381" y="152401"/>
          <a:ext cx="3032578" cy="1597479"/>
        </a:xfrm>
        <a:prstGeom prst="rect">
          <a:avLst/>
        </a:prstGeom>
      </xdr:spPr>
    </xdr:pic>
    <xdr:clientData/>
  </xdr:one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541C267-8CE9-4266-900E-81FDC8B516FD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146049</xdr:colOff>
      <xdr:row>0</xdr:row>
      <xdr:rowOff>152401</xdr:rowOff>
    </xdr:from>
    <xdr:to>
      <xdr:col>9</xdr:col>
      <xdr:colOff>2083377</xdr:colOff>
      <xdr:row>1</xdr:row>
      <xdr:rowOff>266701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07F0813F-E54B-4DD3-A8B2-D83DCC8FDE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1"/>
          <a:ext cx="2985078" cy="1587500"/>
        </a:xfrm>
        <a:prstGeom prst="rect">
          <a:avLst/>
        </a:prstGeom>
      </xdr:spPr>
    </xdr:pic>
    <xdr:clientData/>
  </xdr:two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FE1FA14-863D-443B-AA94-8B3C23B48683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146049</xdr:colOff>
      <xdr:row>0</xdr:row>
      <xdr:rowOff>152400</xdr:rowOff>
    </xdr:from>
    <xdr:ext cx="3205529" cy="1321778"/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F004EC2C-2F47-48FE-8825-59BD1238A1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205529" cy="1321778"/>
        </a:xfrm>
        <a:prstGeom prst="rect">
          <a:avLst/>
        </a:prstGeom>
      </xdr:spPr>
    </xdr:pic>
    <xdr:clientData/>
  </xdr:one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96E0C4A-EF42-495F-8BD1-96B53C5EE4F8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146049</xdr:colOff>
      <xdr:row>0</xdr:row>
      <xdr:rowOff>152400</xdr:rowOff>
    </xdr:from>
    <xdr:to>
      <xdr:col>5</xdr:col>
      <xdr:colOff>2041169</xdr:colOff>
      <xdr:row>1</xdr:row>
      <xdr:rowOff>2133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F8B886A3-CE2F-4F3F-A5D9-0C0EF3852A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132793" cy="1322933"/>
        </a:xfrm>
        <a:prstGeom prst="rect">
          <a:avLst/>
        </a:prstGeom>
      </xdr:spPr>
    </xdr:pic>
    <xdr:clientData/>
  </xdr:two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802E8A1-F35D-4273-A940-D35545742CE9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146049</xdr:colOff>
      <xdr:row>0</xdr:row>
      <xdr:rowOff>152400</xdr:rowOff>
    </xdr:from>
    <xdr:ext cx="3193983" cy="1321778"/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71387C48-0035-4FF9-B6DF-CE85D908D3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193983" cy="1321778"/>
        </a:xfrm>
        <a:prstGeom prst="rect">
          <a:avLst/>
        </a:prstGeom>
      </xdr:spPr>
    </xdr:pic>
    <xdr:clientData/>
  </xdr:one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F68C634-5B25-4734-8EE2-CFB927AFC9A4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21446</xdr:colOff>
      <xdr:row>1</xdr:row>
      <xdr:rowOff>0</xdr:rowOff>
    </xdr:from>
    <xdr:ext cx="2502679" cy="1031963"/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BF31E206-348F-418F-B6EA-153E0CC778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446" y="200025"/>
          <a:ext cx="2502679" cy="1031963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1</xdr:row>
      <xdr:rowOff>12701</xdr:rowOff>
    </xdr:from>
    <xdr:ext cx="2446010" cy="632581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F88CD62-93A7-4908-B68E-248DFCB94153}"/>
            </a:ext>
          </a:extLst>
        </xdr:cNvPr>
        <xdr:cNvSpPr txBox="1"/>
      </xdr:nvSpPr>
      <xdr:spPr>
        <a:xfrm>
          <a:off x="1" y="212726"/>
          <a:ext cx="2446010" cy="632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146049</xdr:colOff>
      <xdr:row>0</xdr:row>
      <xdr:rowOff>152400</xdr:rowOff>
    </xdr:from>
    <xdr:ext cx="3187700" cy="1321778"/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C9E23EA4-2036-4594-855C-AE2906296F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187700" cy="1321778"/>
        </a:xfrm>
        <a:prstGeom prst="rect">
          <a:avLst/>
        </a:prstGeom>
      </xdr:spPr>
    </xdr:pic>
    <xdr:clientData/>
  </xdr:one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7EDC1C6-8E22-4EF0-98AA-73FFE7487B75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146049</xdr:colOff>
      <xdr:row>0</xdr:row>
      <xdr:rowOff>152400</xdr:rowOff>
    </xdr:from>
    <xdr:to>
      <xdr:col>5</xdr:col>
      <xdr:colOff>2426607</xdr:colOff>
      <xdr:row>1</xdr:row>
      <xdr:rowOff>2133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C033417A-7146-4FA3-8DEF-2CE5D5B587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150508" cy="1322933"/>
        </a:xfrm>
        <a:prstGeom prst="rect">
          <a:avLst/>
        </a:prstGeom>
      </xdr:spPr>
    </xdr:pic>
    <xdr:clientData/>
  </xdr:two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19D27CC-8BBA-4ED0-A37E-4528EB87C821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146049</xdr:colOff>
      <xdr:row>0</xdr:row>
      <xdr:rowOff>152401</xdr:rowOff>
    </xdr:from>
    <xdr:to>
      <xdr:col>9</xdr:col>
      <xdr:colOff>284595</xdr:colOff>
      <xdr:row>1</xdr:row>
      <xdr:rowOff>266701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1F0E55ED-5792-48AC-AB19-F8F7550F5D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1"/>
          <a:ext cx="2985078" cy="1587500"/>
        </a:xfrm>
        <a:prstGeom prst="rect">
          <a:avLst/>
        </a:prstGeom>
      </xdr:spPr>
    </xdr:pic>
    <xdr:clientData/>
  </xdr:two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A118A3F-F3C9-44E4-83C5-D869236F9620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5</xdr:col>
      <xdr:colOff>146049</xdr:colOff>
      <xdr:row>0</xdr:row>
      <xdr:rowOff>152400</xdr:rowOff>
    </xdr:from>
    <xdr:to>
      <xdr:col>9</xdr:col>
      <xdr:colOff>451757</xdr:colOff>
      <xdr:row>1</xdr:row>
      <xdr:rowOff>2133</xdr:rowOff>
    </xdr:to>
    <xdr:pic>
      <xdr:nvPicPr>
        <xdr:cNvPr id="4" name="Imagem 3" descr="Banner de resumo" title="Banner 1">
          <a:extLst>
            <a:ext uri="{FF2B5EF4-FFF2-40B4-BE49-F238E27FC236}">
              <a16:creationId xmlns:a16="http://schemas.microsoft.com/office/drawing/2014/main" id="{997EF7FE-6D42-4F6D-9BCF-F52677EECA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150508" cy="13229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146049</xdr:colOff>
      <xdr:row>0</xdr:row>
      <xdr:rowOff>152400</xdr:rowOff>
    </xdr:from>
    <xdr:to>
      <xdr:col>5</xdr:col>
      <xdr:colOff>2190750</xdr:colOff>
      <xdr:row>1</xdr:row>
      <xdr:rowOff>2133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CA1C1915-8055-419A-BFF1-8F2582EBF4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155951" cy="1322933"/>
        </a:xfrm>
        <a:prstGeom prst="rect">
          <a:avLst/>
        </a:prstGeom>
      </xdr:spPr>
    </xdr:pic>
    <xdr:clientData/>
  </xdr:two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C080694-BC0E-4015-AA67-566270990E66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B9B406-DCBA-429E-BC4F-622FB517E5D4}" name="Inventory_List_Table452" displayName="Inventory_List_Table452" ref="B4:D65" headerRowDxfId="200" dataDxfId="199">
  <tableColumns count="3">
    <tableColumn id="1" xr3:uid="{F4A0496F-F964-4F5C-B445-C2CD113E8D41}" name="Para reordenar" totalsRowLabel="Total" dataDxfId="197" totalsRowDxfId="198">
      <calculatedColumnFormula>IFERROR((#REF!&lt;=#REF!)*(#REF!="")*RealceValor,0)</calculatedColumnFormula>
    </tableColumn>
    <tableColumn id="3" xr3:uid="{B4325D27-94B1-46C5-A4A0-CFD627C0C516}" name="Equipe" dataDxfId="195" totalsRowDxfId="196"/>
    <tableColumn id="5" xr3:uid="{FB6417C5-6F49-43F0-9564-23728950C293}" name="Solicitante" dataDxfId="193" totalsRowDxfId="194"/>
  </tableColumns>
  <tableStyleInfo name="Tabela de empresa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300E7D-AF2E-43E8-A2A4-79BB653D5282}" name="Inventory_List_Table4" displayName="Inventory_List_Table4" ref="B4:D65" headerRowDxfId="190" dataDxfId="189">
  <tableColumns count="3">
    <tableColumn id="1" xr3:uid="{8F253CD9-FF1B-464D-872E-4FCC38683A82}" name="Para reordenar" totalsRowLabel="Total" dataDxfId="187" totalsRowDxfId="188">
      <calculatedColumnFormula>IFERROR((#REF!&lt;=#REF!)*(#REF!="")*RealceValor,0)</calculatedColumnFormula>
    </tableColumn>
    <tableColumn id="3" xr3:uid="{A6AE5017-E0F8-44BE-ACEC-169DFF079BF2}" name="Equipe" dataDxfId="185" totalsRowDxfId="186"/>
    <tableColumn id="5" xr3:uid="{3B4CB9B6-0A04-4F8C-977F-53FAEEDB9ECD}" name="Solicitante" dataDxfId="183" totalsRowDxfId="184"/>
  </tableColumns>
  <tableStyleInfo name="Tabela de empresas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1AB53C1-FC0B-41EC-B3E1-DA462061297F}" name="Inventory_List_Table311" displayName="Inventory_List_Table311" ref="B4:K29" headerRowDxfId="173" dataDxfId="172" totalsRowDxfId="171">
  <autoFilter ref="B4:K29" xr:uid="{AA812DCF-4703-4F71-B481-A426A6280BFE}"/>
  <tableColumns count="10">
    <tableColumn id="1" xr3:uid="{0352EB0A-8309-401B-95F1-AD06DF0F320C}" name="Para reordenar" totalsRowLabel="Total" dataDxfId="169" totalsRowDxfId="170">
      <calculatedColumnFormula>IFERROR((Inventory_List_Table311[[#This Row],[Quantidade]]&lt;=Inventory_List_Table311[[#This Row],[Dimensão ]])*(Inventory_List_Table311[[#This Row],[Tem Estoque?]]="")*RealceValor,0)</calculatedColumnFormula>
    </tableColumn>
    <tableColumn id="3" xr3:uid="{9886AA74-717A-4205-8087-7248AE254864}" name="Equipe" dataDxfId="167" totalsRowDxfId="168"/>
    <tableColumn id="5" xr3:uid="{7118C8ED-7924-43CF-AFDC-1D443C474601}" name="Solicitante" dataDxfId="165" totalsRowDxfId="166"/>
    <tableColumn id="2" xr3:uid="{85D3FEFB-9157-403F-9576-6AD47CC961DC}" name="Código do Item" dataDxfId="163" totalsRowDxfId="164"/>
    <tableColumn id="4" xr3:uid="{EEC64169-AFB1-4AA0-971E-BC92391C837D}" name="Descrição - 3° Andar " dataDxfId="161" totalsRowDxfId="162"/>
    <tableColumn id="6" xr3:uid="{5C2DAA93-8458-41D2-825C-4F348AA961AE}" name="Quantidade" dataDxfId="159" totalsRowDxfId="160"/>
    <tableColumn id="8" xr3:uid="{F7228A91-0819-4824-A2A3-A520116FF68A}" name="Dimensão " dataDxfId="157" totalsRowDxfId="158"/>
    <tableColumn id="9" xr3:uid="{B82F84AC-8649-42A9-A6FF-4FB7CE478EFE}" name="Data de Entrega" dataDxfId="155" totalsRowDxfId="156"/>
    <tableColumn id="10" xr3:uid="{12F038E2-0631-431F-98C9-62231D5A9FDF}" name="Quantidade a encomendar" dataDxfId="153" totalsRowDxfId="154"/>
    <tableColumn id="11" xr3:uid="{692907AC-BF0F-432D-AA09-C9E51566DF9F}" name="Tem Estoque?" totalsRowFunction="count" dataDxfId="151" totalsRowDxfId="152"/>
  </tableColumns>
  <tableStyleInfo name="Tabela de empresas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FD9CAB-A27D-40DD-B940-DBAC3688DCAA}" name="Inventory_List_Table38" displayName="Inventory_List_Table38" ref="B4:G29" headerRowDxfId="148" dataDxfId="147" totalsRowDxfId="146">
  <autoFilter ref="B4:G29" xr:uid="{AA812DCF-4703-4F71-B481-A426A6280BFE}"/>
  <tableColumns count="6">
    <tableColumn id="1" xr3:uid="{1BE8F59F-95A3-402E-A272-43890F552818}" name="Para reordenar" totalsRowLabel="Total" dataDxfId="144" totalsRowDxfId="145">
      <calculatedColumnFormula>IFERROR((#REF!&lt;=#REF!)*(Inventory_List_Table38[[#This Row],[Tem Estoque?]]="")*RealceValor,0)</calculatedColumnFormula>
    </tableColumn>
    <tableColumn id="3" xr3:uid="{2CEBADBE-68AF-4373-979A-CE5981D09A6C}" name="Equipe" dataDxfId="142" totalsRowDxfId="143"/>
    <tableColumn id="5" xr3:uid="{A6AB2216-BB2E-479B-A44A-280686B03F9E}" name="Solicitante" dataDxfId="140" totalsRowDxfId="141"/>
    <tableColumn id="9" xr3:uid="{80089794-7B41-4687-A513-48744B4028EF}" name="Data de Entrega" dataDxfId="138" totalsRowDxfId="139"/>
    <tableColumn id="10" xr3:uid="{523E7094-9FEF-4D44-BB4B-497460B82E84}" name="Quantidade a encomendar" dataDxfId="136" totalsRowDxfId="137"/>
    <tableColumn id="11" xr3:uid="{6CEF0A90-DDF8-459B-A8CB-A85F13A1C3DE}" name="Tem Estoque?" totalsRowFunction="count" dataDxfId="134" totalsRowDxfId="135"/>
  </tableColumns>
  <tableStyleInfo name="Tabela de empresa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561603-EA18-44B9-8DD8-7DA2D2258C16}" name="Inventory_List_Table1213" displayName="Inventory_List_Table1213" ref="B3:L28" headerRowDxfId="129" dataDxfId="128">
  <autoFilter ref="B3:L28" xr:uid="{00000000-0009-0000-0100-000001000000}"/>
  <tableColumns count="11">
    <tableColumn id="1" xr3:uid="{26FB392B-1D6A-42F0-8383-F74C6AD40DB8}" name="Para reordenar" totalsRowLabel="Total" dataDxfId="126" totalsRowDxfId="127">
      <calculatedColumnFormula>IFERROR((Inventory_List_Table1213[[#This Row],[Quantidade]]&lt;=Inventory_List_Table1213[[#This Row],[Dimensão]])*(Inventory_List_Table1213[[#This Row],[Dimensão ]]="")*RealceValor,0)</calculatedColumnFormula>
    </tableColumn>
    <tableColumn id="3" xr3:uid="{DFA1F35B-47BC-4E1B-BE64-5D89BA808CEB}" name="Equipe" dataDxfId="124" totalsRowDxfId="125"/>
    <tableColumn id="5" xr3:uid="{8245ED33-F450-487C-BD2C-D6237DCF364D}" name="Solicitante" dataDxfId="122" totalsRowDxfId="123"/>
    <tableColumn id="2" xr3:uid="{4D0BDAC6-FB31-4434-8C5E-882810AB9176}" name="Código do Item" dataDxfId="120" totalsRowDxfId="121"/>
    <tableColumn id="4" xr3:uid="{0E34A5FA-3444-4F4A-98D1-C2BFCD0A054D}" name="Descrição (infra 3° Andar)" dataDxfId="118" totalsRowDxfId="119"/>
    <tableColumn id="6" xr3:uid="{05A37657-BFD9-4594-9311-A566C4B830E1}" name="Quantidade" dataDxfId="116" totalsRowDxfId="117"/>
    <tableColumn id="8" xr3:uid="{D65EDFEC-84B7-4AC3-A574-19AE5CF94061}" name="Dimensão" dataDxfId="114" totalsRowDxfId="115"/>
    <tableColumn id="9" xr3:uid="{10123427-1AF5-40C5-B176-255624B48546}" name="Data de Entrega" dataDxfId="112" totalsRowDxfId="113"/>
    <tableColumn id="10" xr3:uid="{02411578-0AD6-493D-B9C3-4FE56C738D91}" name="Quantidade a encomendar" dataDxfId="110" totalsRowDxfId="111"/>
    <tableColumn id="11" xr3:uid="{986B3E5F-4B1E-44EB-9839-6C060A521E9D}" name="Dimensão " totalsRowFunction="count" dataDxfId="108" totalsRowDxfId="109"/>
    <tableColumn id="7" xr3:uid="{CDFF8593-C894-4C20-9331-95B47E8581F5}" name="Coluna1" dataDxfId="106" totalsRowDxfId="107"/>
  </tableColumns>
  <tableStyleInfo name="Tabela de empresa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C503A5-6268-4042-AECF-BA4C2DA12526}" name="Inventory_List_Table9" displayName="Inventory_List_Table9" ref="B4:D29" headerRowDxfId="101" dataDxfId="100">
  <autoFilter ref="B4:D29" xr:uid="{00000000-0009-0000-0100-000001000000}"/>
  <tableColumns count="3">
    <tableColumn id="1" xr3:uid="{9BA92774-051B-4F9D-8EC5-5B41B2903C07}" name="Para reordenar" totalsRowLabel="Total" dataDxfId="98" totalsRowDxfId="99">
      <calculatedColumnFormula>IFERROR((#REF!&lt;=#REF!)*(#REF!="")*RealceValor,0)</calculatedColumnFormula>
    </tableColumn>
    <tableColumn id="3" xr3:uid="{2311C92B-9862-447A-98A9-5D690A996ADB}" name="Equipe" dataDxfId="96" totalsRowDxfId="97"/>
    <tableColumn id="5" xr3:uid="{C4196C66-048C-4034-B5C0-EB4CAA908657}" name="Solicitante" dataDxfId="94" totalsRowDxfId="95"/>
  </tableColumns>
  <tableStyleInfo name="Tabela de empresas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7A00195-46A2-4D40-AFA2-D904B29CE8EC}" name="Inventory_List_Table12" displayName="Inventory_List_Table12" ref="B4:G28" headerRowDxfId="87" dataDxfId="86">
  <autoFilter ref="B4:G28" xr:uid="{00000000-0009-0000-0100-000001000000}"/>
  <tableColumns count="6">
    <tableColumn id="1" xr3:uid="{FBBC6068-5DD9-49E9-9165-89B34C22C8C8}" name="Para reordenar" totalsRowLabel="Total" dataDxfId="84" totalsRowDxfId="85">
      <calculatedColumnFormula>IFERROR((#REF!&lt;=#REF!)*(Inventory_List_Table12[[#This Row],[Dimensão ]]="")*RealceValor,0)</calculatedColumnFormula>
    </tableColumn>
    <tableColumn id="3" xr3:uid="{1F037BCF-0947-4B23-A78E-3C7E3F37CB28}" name="Equipe" dataDxfId="82" totalsRowDxfId="83"/>
    <tableColumn id="5" xr3:uid="{6F683C8C-619D-47AA-AEB1-6F22A9ECEEA3}" name="Solicitante" dataDxfId="80" totalsRowDxfId="81"/>
    <tableColumn id="9" xr3:uid="{B77ADE3E-0329-4EDE-AC9E-C21F8DBBF709}" name="Data de Entrega" dataDxfId="78" totalsRowDxfId="79"/>
    <tableColumn id="10" xr3:uid="{A0F68469-7BD5-4610-85A9-CB34E62110E2}" name="Quantidade a encomendar" dataDxfId="76" totalsRowDxfId="77"/>
    <tableColumn id="11" xr3:uid="{E27AF4CA-C92D-4172-A446-FE1879383733}" name="Dimensão " totalsRowFunction="count" dataDxfId="74" totalsRowDxfId="75"/>
  </tableColumns>
  <tableStyleInfo name="Tabela de empresas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69DDC34-2DB9-4378-94EC-52154BB83B16}" name="Inventory_List_Table4567" displayName="Inventory_List_Table4567" ref="B4:D65" headerRowDxfId="64" dataDxfId="63">
  <tableColumns count="3">
    <tableColumn id="1" xr3:uid="{7946B989-2A86-4D8E-A401-4D3148A4CF3F}" name="Para reordenar" totalsRowLabel="Total" dataDxfId="61" totalsRowDxfId="62">
      <calculatedColumnFormula>IFERROR((#REF!&lt;=#REF!)*(#REF!="")*RealceValor,0)</calculatedColumnFormula>
    </tableColumn>
    <tableColumn id="3" xr3:uid="{E9FAFF5F-A859-4BCF-B90D-C6B230CA4E0E}" name="Equipe" dataDxfId="59" totalsRowDxfId="60"/>
    <tableColumn id="5" xr3:uid="{E51E2E39-A782-49B2-8021-5DEB52321DFB}" name="Solicitante" dataDxfId="57" totalsRowDxfId="58"/>
  </tableColumns>
  <tableStyleInfo name="Tabela de empresas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281B0B-07BF-407E-B24B-104FBCA5FFDF}" name="Inventory_List_Table46" displayName="Inventory_List_Table46" ref="B4:D65" headerRowDxfId="52" dataDxfId="51">
  <tableColumns count="3">
    <tableColumn id="1" xr3:uid="{68BAFEC6-CDDB-4C84-84BE-39ABB8DB783F}" name="Para reordenar" totalsRowLabel="Total" dataDxfId="49" totalsRowDxfId="50">
      <calculatedColumnFormula>IFERROR((#REF!&lt;=#REF!)*(#REF!="")*RealceValor,0)</calculatedColumnFormula>
    </tableColumn>
    <tableColumn id="3" xr3:uid="{4B612F78-5603-4455-B2D5-A3A8DD8F79F9}" name="Equipe" dataDxfId="47" totalsRowDxfId="48"/>
    <tableColumn id="5" xr3:uid="{8B10813D-0D02-4F58-A597-3E83B6F6EE0A}" name="Solicitante" dataDxfId="45" totalsRowDxfId="46"/>
  </tableColumns>
  <tableStyleInfo name="Tabela de empresas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F84750-7F60-4E19-8F50-823A0185F51C}" name="Inventory_List_Table37" displayName="Inventory_List_Table37" ref="B4:G29" headerRowDxfId="42" dataDxfId="41" totalsRowDxfId="40">
  <autoFilter ref="B4:G29" xr:uid="{AA812DCF-4703-4F71-B481-A426A6280BFE}"/>
  <tableColumns count="6">
    <tableColumn id="1" xr3:uid="{E5A8078F-5973-4905-9A99-136421284BAE}" name="Para reordenar" totalsRowLabel="Total" dataDxfId="38" totalsRowDxfId="39">
      <calculatedColumnFormula>IFERROR((#REF!&lt;=#REF!)*(Inventory_List_Table37[[#This Row],[Tem Estoque?]]="")*RealceValor,0)</calculatedColumnFormula>
    </tableColumn>
    <tableColumn id="3" xr3:uid="{97B78205-701B-4550-AC7A-9D4707BE1E52}" name="Equipe" dataDxfId="36" totalsRowDxfId="37"/>
    <tableColumn id="5" xr3:uid="{F6F3805F-470F-4636-AEDD-53D9009085D1}" name="Solicitante" dataDxfId="34" totalsRowDxfId="35"/>
    <tableColumn id="9" xr3:uid="{390C84EF-0B51-4904-9E76-56ACEBF68EA3}" name="Data de Entrega" dataDxfId="32" totalsRowDxfId="33"/>
    <tableColumn id="10" xr3:uid="{5A4464B3-25F1-4A2A-B435-3BB158AFBCDB}" name="Quantidade a encomendar" dataDxfId="30" totalsRowDxfId="31"/>
    <tableColumn id="11" xr3:uid="{C22D1BB2-76F0-45C4-A50F-98BCE671A316}" name="Tem Estoque?" totalsRowFunction="count" dataDxfId="28" totalsRowDxfId="29"/>
  </tableColumns>
  <tableStyleInfo name="Tabela de empresas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D26CE4-39CE-437B-AE76-D93D4A44A992}" name="Inventory_List_Table45" displayName="Inventory_List_Table45" ref="B4:L65" headerRowDxfId="25" dataDxfId="24">
  <tableColumns count="11">
    <tableColumn id="1" xr3:uid="{50879346-7BD6-4754-A937-525DA1E17C11}" name="Para reordenar" totalsRowLabel="Total" dataDxfId="22" totalsRowDxfId="23">
      <calculatedColumnFormula>IFERROR((Inventory_List_Table45[[#This Row],[Quantidade]]&lt;=Inventory_List_Table45[[#This Row],[Quantidade2]])*(Inventory_List_Table45[[#This Row],[Quantidade5]]="")*RealceValor,0)</calculatedColumnFormula>
    </tableColumn>
    <tableColumn id="3" xr3:uid="{DA10BAED-917C-43BA-A1F8-41BFEB49630E}" name="Equipe" dataDxfId="20" totalsRowDxfId="21"/>
    <tableColumn id="5" xr3:uid="{103BB07C-4BFD-42BD-9DEF-B0DC8F527AD0}" name="Solicitante" dataDxfId="18" totalsRowDxfId="19"/>
    <tableColumn id="2" xr3:uid="{72D037D9-905A-4256-8F7B-0115D576C3BD}" name="Código do Item" dataDxfId="16" totalsRowDxfId="17"/>
    <tableColumn id="4" xr3:uid="{734969B2-D7E8-4718-8534-FB6F7D3777BC}" name="Descrição (Atico)" dataDxfId="14" totalsRowDxfId="15"/>
    <tableColumn id="6" xr3:uid="{457CEFC2-F791-44E1-9999-AA0448EA062F}" name="Quantidade" dataDxfId="12" totalsRowDxfId="13"/>
    <tableColumn id="8" xr3:uid="{C6188006-8552-4E97-89CD-BDD58603CB4E}" name="Quantidade2" dataDxfId="10" totalsRowDxfId="11"/>
    <tableColumn id="9" xr3:uid="{6DF06855-92A8-4978-AC54-A503469A9A0A}" name="Quantidade3" dataDxfId="8" totalsRowDxfId="9"/>
    <tableColumn id="10" xr3:uid="{9A439BB1-FD36-40BD-919B-86D6F634605F}" name="Quantidade4" dataDxfId="6" totalsRowDxfId="7"/>
    <tableColumn id="11" xr3:uid="{0490FA5A-7B2E-43D2-AEF6-C00791EFE51C}" name="Quantidade5" totalsRowFunction="count" dataDxfId="4" totalsRowDxfId="5"/>
    <tableColumn id="7" xr3:uid="{3102510B-A582-4861-A9AE-C01A81683FA4}" name="Dimensão" dataDxfId="2" totalsRowDxfId="3"/>
  </tableColumns>
  <tableStyleInfo name="Tabela de empresas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mercadolivre.com.br/up/MLBU2394887562?pdp_filters=item_id:MLB3881685517(%20por%20favor%20cadastrar%20esse%20item%20)" TargetMode="Externa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mercadolivre.com.br/up/MLBU2394887562?pdp_filters=item_id:MLB3881685517(%20por%20favor%20cadastrar%20esse%20item%20)" TargetMode="Externa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5DFE-D12E-4C8C-9018-3E7B0D2E388C}">
  <sheetPr>
    <pageSetUpPr fitToPage="1"/>
  </sheetPr>
  <dimension ref="B1:I83"/>
  <sheetViews>
    <sheetView showGridLines="0" tabSelected="1" zoomScale="70" zoomScaleNormal="70" workbookViewId="0">
      <selection activeCell="H1" sqref="H1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6" width="8.77734375" style="4"/>
    <col min="7" max="7" width="59.88671875" style="4" bestFit="1" customWidth="1"/>
    <col min="8" max="8" width="16.109375" style="4" customWidth="1"/>
    <col min="9" max="9" width="37.6640625" style="4" customWidth="1"/>
    <col min="10" max="16384" width="8.77734375" style="4"/>
  </cols>
  <sheetData>
    <row r="1" spans="2:9" s="1" customFormat="1" ht="116.25" customHeight="1">
      <c r="B1" s="2"/>
      <c r="C1" s="2"/>
      <c r="D1" s="2"/>
      <c r="H1" s="123" t="s">
        <v>0</v>
      </c>
      <c r="I1" s="123"/>
    </row>
    <row r="2" spans="2:9" s="1" customFormat="1" ht="116.25" customHeight="1">
      <c r="B2" s="2"/>
      <c r="C2" s="2"/>
      <c r="D2" s="2"/>
      <c r="E2" s="1" t="s">
        <v>1</v>
      </c>
      <c r="F2" s="145" t="s">
        <v>2</v>
      </c>
      <c r="G2" s="145"/>
      <c r="H2" s="145"/>
    </row>
    <row r="3" spans="2:9" ht="23.25" customHeight="1"/>
    <row r="4" spans="2:9" s="3" customFormat="1" ht="50.1" customHeight="1">
      <c r="B4" s="9" t="s">
        <v>3</v>
      </c>
      <c r="C4" s="9" t="s">
        <v>4</v>
      </c>
      <c r="D4" s="9" t="s">
        <v>5</v>
      </c>
      <c r="F4" s="15" t="s">
        <v>6</v>
      </c>
      <c r="G4" s="16" t="s">
        <v>7</v>
      </c>
      <c r="H4" s="122"/>
      <c r="I4" s="122" t="s">
        <v>8</v>
      </c>
    </row>
    <row r="5" spans="2:9" ht="24" customHeight="1">
      <c r="B5" s="3">
        <f>IFERROR((#REF!&lt;=#REF!)*(#REF!="")*RealceValor,0)</f>
        <v>0</v>
      </c>
      <c r="F5" s="66">
        <v>17342</v>
      </c>
      <c r="G5" s="77" t="s">
        <v>9</v>
      </c>
      <c r="H5" s="77">
        <v>12</v>
      </c>
      <c r="I5" s="121" t="s">
        <v>10</v>
      </c>
    </row>
    <row r="6" spans="2:9" ht="24" customHeight="1">
      <c r="B6" s="3">
        <f>IFERROR((#REF!&lt;=#REF!)*(#REF!="")*RealceValor,0)</f>
        <v>0</v>
      </c>
      <c r="F6" s="67">
        <v>16881</v>
      </c>
      <c r="G6" s="77" t="s">
        <v>11</v>
      </c>
      <c r="H6" s="107">
        <v>162</v>
      </c>
      <c r="I6" s="116" t="s">
        <v>10</v>
      </c>
    </row>
    <row r="7" spans="2:9" ht="24" customHeight="1">
      <c r="B7" s="3">
        <f>IFERROR((#REF!&lt;=#REF!)*(#REF!="")*RealceValor,0)</f>
        <v>0</v>
      </c>
      <c r="F7" s="67">
        <v>25391</v>
      </c>
      <c r="G7" s="77" t="s">
        <v>12</v>
      </c>
      <c r="H7" s="107">
        <v>96</v>
      </c>
      <c r="I7" s="116" t="s">
        <v>10</v>
      </c>
    </row>
    <row r="8" spans="2:9" ht="24" customHeight="1">
      <c r="B8" s="3">
        <f>IFERROR((#REF!&lt;=#REF!)*(#REF!="")*RealceValor,0)</f>
        <v>0</v>
      </c>
      <c r="F8" s="67">
        <v>29711</v>
      </c>
      <c r="G8" s="77" t="s">
        <v>13</v>
      </c>
      <c r="H8" s="107">
        <v>24</v>
      </c>
      <c r="I8" s="116" t="s">
        <v>10</v>
      </c>
    </row>
    <row r="9" spans="2:9" ht="24" customHeight="1">
      <c r="B9" s="3">
        <f>IFERROR((#REF!&lt;=#REF!)*(#REF!="")*RealceValor,0)</f>
        <v>0</v>
      </c>
      <c r="F9" s="68">
        <v>26236</v>
      </c>
      <c r="G9" s="77" t="s">
        <v>14</v>
      </c>
      <c r="H9" s="107">
        <v>36</v>
      </c>
      <c r="I9" s="116" t="s">
        <v>10</v>
      </c>
    </row>
    <row r="10" spans="2:9" ht="24" customHeight="1">
      <c r="B10" s="3">
        <f>IFERROR((#REF!&lt;=#REF!)*(#REF!="")*RealceValor,0)</f>
        <v>0</v>
      </c>
      <c r="F10" s="67">
        <v>27050</v>
      </c>
      <c r="G10" s="77" t="s">
        <v>15</v>
      </c>
      <c r="H10" s="107">
        <v>12</v>
      </c>
      <c r="I10" s="116" t="s">
        <v>10</v>
      </c>
    </row>
    <row r="11" spans="2:9" ht="24" customHeight="1">
      <c r="B11" s="3">
        <f>IFERROR((#REF!&lt;=#REF!)*(#REF!="")*RealceValor,0)</f>
        <v>0</v>
      </c>
      <c r="F11" s="67">
        <v>26072</v>
      </c>
      <c r="G11" s="77" t="s">
        <v>16</v>
      </c>
      <c r="H11" s="107">
        <v>36</v>
      </c>
      <c r="I11" s="116" t="s">
        <v>10</v>
      </c>
    </row>
    <row r="12" spans="2:9" ht="24" customHeight="1">
      <c r="B12" s="3">
        <f>IFERROR((#REF!&lt;=#REF!)*(#REF!="")*RealceValor,0)</f>
        <v>0</v>
      </c>
      <c r="F12" s="67">
        <v>26492</v>
      </c>
      <c r="G12" s="77" t="s">
        <v>17</v>
      </c>
      <c r="H12" s="107">
        <v>24</v>
      </c>
      <c r="I12" s="116" t="s">
        <v>10</v>
      </c>
    </row>
    <row r="13" spans="2:9" ht="24" customHeight="1">
      <c r="B13" s="3">
        <f>IFERROR((#REF!&lt;=#REF!)*(#REF!="")*RealceValor,0)</f>
        <v>0</v>
      </c>
      <c r="F13" s="67">
        <v>26591</v>
      </c>
      <c r="G13" s="77" t="s">
        <v>18</v>
      </c>
      <c r="H13" s="107">
        <v>24</v>
      </c>
      <c r="I13" s="116" t="s">
        <v>10</v>
      </c>
    </row>
    <row r="14" spans="2:9" ht="24" customHeight="1">
      <c r="B14" s="3">
        <f>IFERROR((#REF!&lt;=#REF!)*(#REF!="")*RealceValor,0)</f>
        <v>0</v>
      </c>
      <c r="F14" s="67">
        <v>25913</v>
      </c>
      <c r="G14" s="77" t="s">
        <v>19</v>
      </c>
      <c r="H14" s="107">
        <v>24</v>
      </c>
      <c r="I14" s="116" t="s">
        <v>10</v>
      </c>
    </row>
    <row r="15" spans="2:9" ht="24" customHeight="1">
      <c r="B15" s="3">
        <f>IFERROR((#REF!&lt;=#REF!)*(#REF!="")*RealceValor,0)</f>
        <v>0</v>
      </c>
      <c r="F15" s="67">
        <v>91813</v>
      </c>
      <c r="G15" s="77" t="s">
        <v>20</v>
      </c>
      <c r="H15" s="107">
        <v>10</v>
      </c>
      <c r="I15" s="116" t="s">
        <v>10</v>
      </c>
    </row>
    <row r="16" spans="2:9" ht="24" customHeight="1">
      <c r="B16" s="3">
        <f>IFERROR((#REF!&lt;=#REF!)*(#REF!="")*RealceValor,0)</f>
        <v>0</v>
      </c>
      <c r="F16" s="67">
        <v>29111</v>
      </c>
      <c r="G16" s="77" t="s">
        <v>21</v>
      </c>
      <c r="H16" s="107">
        <v>12</v>
      </c>
      <c r="I16" s="116" t="s">
        <v>10</v>
      </c>
    </row>
    <row r="17" spans="2:9" ht="24" customHeight="1">
      <c r="B17" s="3">
        <f>IFERROR((#REF!&lt;=#REF!)*(#REF!="")*RealceValor,0)</f>
        <v>0</v>
      </c>
      <c r="F17" s="67">
        <v>19110</v>
      </c>
      <c r="G17" s="77" t="s">
        <v>22</v>
      </c>
      <c r="H17" s="107">
        <v>12</v>
      </c>
      <c r="I17" s="116" t="s">
        <v>10</v>
      </c>
    </row>
    <row r="18" spans="2:9" ht="24" customHeight="1">
      <c r="B18" s="3">
        <f>IFERROR((#REF!&lt;=#REF!)*(#REF!="")*RealceValor,0)</f>
        <v>0</v>
      </c>
      <c r="F18" s="120">
        <v>97030</v>
      </c>
      <c r="G18" s="77" t="s">
        <v>23</v>
      </c>
      <c r="H18" s="119">
        <v>24</v>
      </c>
      <c r="I18" s="116" t="s">
        <v>10</v>
      </c>
    </row>
    <row r="19" spans="2:9" ht="24" customHeight="1">
      <c r="B19" s="3">
        <f>IFERROR((#REF!&lt;=#REF!)*(#REF!="")*RealceValor,0)</f>
        <v>0</v>
      </c>
      <c r="F19" s="120">
        <v>32417</v>
      </c>
      <c r="G19" s="77" t="s">
        <v>24</v>
      </c>
      <c r="H19" s="119">
        <v>24</v>
      </c>
      <c r="I19" s="116" t="s">
        <v>10</v>
      </c>
    </row>
    <row r="20" spans="2:9" ht="24" customHeight="1">
      <c r="B20" s="3">
        <f>IFERROR((#REF!&lt;=#REF!)*(#REF!="")*RealceValor,0)</f>
        <v>0</v>
      </c>
      <c r="F20" s="120">
        <v>25962</v>
      </c>
      <c r="G20" s="77" t="s">
        <v>25</v>
      </c>
      <c r="H20" s="119">
        <v>24</v>
      </c>
      <c r="I20" s="116" t="s">
        <v>10</v>
      </c>
    </row>
    <row r="21" spans="2:9" ht="24" customHeight="1">
      <c r="B21" s="3">
        <f>IFERROR((#REF!&lt;=#REF!)*(#REF!="")*RealceValor,0)</f>
        <v>0</v>
      </c>
      <c r="F21" s="67">
        <v>19896</v>
      </c>
      <c r="G21" s="77" t="s">
        <v>26</v>
      </c>
      <c r="H21" s="107">
        <v>25</v>
      </c>
      <c r="I21" s="116" t="s">
        <v>10</v>
      </c>
    </row>
    <row r="22" spans="2:9" ht="24" customHeight="1">
      <c r="B22" s="3">
        <f>IFERROR((#REF!&lt;=#REF!)*(#REF!="")*RealceValor,0)</f>
        <v>0</v>
      </c>
      <c r="F22" s="67">
        <v>81485</v>
      </c>
      <c r="G22" s="77" t="s">
        <v>27</v>
      </c>
      <c r="H22" s="107">
        <v>30</v>
      </c>
      <c r="I22" s="116" t="s">
        <v>10</v>
      </c>
    </row>
    <row r="23" spans="2:9" ht="24" customHeight="1">
      <c r="B23" s="3">
        <f>IFERROR((#REF!&lt;=#REF!)*(#REF!="")*RealceValor,0)</f>
        <v>0</v>
      </c>
      <c r="F23" s="67">
        <v>71553</v>
      </c>
      <c r="G23" s="77" t="s">
        <v>28</v>
      </c>
      <c r="H23" s="107">
        <v>30</v>
      </c>
      <c r="I23" s="116" t="s">
        <v>10</v>
      </c>
    </row>
    <row r="24" spans="2:9" ht="24" customHeight="1">
      <c r="B24" s="3">
        <f>IFERROR((#REF!&lt;=#REF!)*(#REF!="")*RealceValor,0)</f>
        <v>0</v>
      </c>
      <c r="F24" s="69">
        <v>28469</v>
      </c>
      <c r="G24" s="77" t="s">
        <v>29</v>
      </c>
      <c r="H24" s="107">
        <v>100</v>
      </c>
      <c r="I24" s="116" t="s">
        <v>10</v>
      </c>
    </row>
    <row r="25" spans="2:9" ht="24" customHeight="1">
      <c r="B25" s="3">
        <f>IFERROR((#REF!&lt;=#REF!)*(#REF!="")*RealceValor,0)</f>
        <v>0</v>
      </c>
      <c r="F25" s="69">
        <v>42817</v>
      </c>
      <c r="G25" s="77" t="s">
        <v>30</v>
      </c>
      <c r="H25" s="107">
        <v>20</v>
      </c>
      <c r="I25" s="116" t="s">
        <v>10</v>
      </c>
    </row>
    <row r="26" spans="2:9" ht="24" customHeight="1">
      <c r="B26" s="3">
        <f>IFERROR((#REF!&lt;=#REF!)*(#REF!="")*RealceValor,0)</f>
        <v>0</v>
      </c>
      <c r="F26" s="69">
        <v>17764</v>
      </c>
      <c r="G26" s="77" t="s">
        <v>31</v>
      </c>
      <c r="H26" s="107">
        <v>40</v>
      </c>
      <c r="I26" s="116" t="s">
        <v>10</v>
      </c>
    </row>
    <row r="27" spans="2:9" ht="24" customHeight="1">
      <c r="B27" s="3">
        <f>IFERROR((#REF!&lt;=#REF!)*(#REF!="")*RealceValor,0)</f>
        <v>0</v>
      </c>
      <c r="F27" s="69">
        <v>43887</v>
      </c>
      <c r="G27" s="77" t="s">
        <v>32</v>
      </c>
      <c r="H27" s="107">
        <v>60</v>
      </c>
      <c r="I27" s="116" t="s">
        <v>10</v>
      </c>
    </row>
    <row r="28" spans="2:9" ht="24" customHeight="1">
      <c r="B28" s="3">
        <f>IFERROR((#REF!&lt;=#REF!)*(#REF!="")*RealceValor,0)</f>
        <v>0</v>
      </c>
      <c r="F28" s="69">
        <v>21923</v>
      </c>
      <c r="G28" s="77" t="s">
        <v>33</v>
      </c>
      <c r="H28" s="107">
        <v>30</v>
      </c>
      <c r="I28" s="116" t="s">
        <v>10</v>
      </c>
    </row>
    <row r="29" spans="2:9" ht="24" customHeight="1">
      <c r="B29" s="3">
        <f>IFERROR((#REF!&lt;=#REF!)*(#REF!="")*RealceValor,0)</f>
        <v>0</v>
      </c>
      <c r="F29" s="67">
        <v>57941</v>
      </c>
      <c r="G29" s="77" t="s">
        <v>34</v>
      </c>
      <c r="H29" s="107">
        <v>10</v>
      </c>
      <c r="I29" s="116" t="s">
        <v>10</v>
      </c>
    </row>
    <row r="30" spans="2:9" ht="24" customHeight="1">
      <c r="B30" s="24">
        <f>IFERROR((#REF!&lt;=#REF!)*(#REF!="")*RealceValor,0)</f>
        <v>0</v>
      </c>
      <c r="F30" s="67">
        <v>50405</v>
      </c>
      <c r="G30" s="77" t="s">
        <v>35</v>
      </c>
      <c r="H30" s="107">
        <v>70</v>
      </c>
      <c r="I30" s="116" t="s">
        <v>10</v>
      </c>
    </row>
    <row r="31" spans="2:9" ht="24" customHeight="1">
      <c r="B31" s="24">
        <f>IFERROR((#REF!&lt;=#REF!)*(#REF!="")*RealceValor,0)</f>
        <v>0</v>
      </c>
      <c r="F31" s="67">
        <v>81484</v>
      </c>
      <c r="G31" s="77" t="s">
        <v>36</v>
      </c>
      <c r="H31" s="107">
        <v>10</v>
      </c>
      <c r="I31" s="116" t="s">
        <v>10</v>
      </c>
    </row>
    <row r="32" spans="2:9" ht="24" customHeight="1">
      <c r="B32" s="24">
        <f>IFERROR((#REF!&lt;=#REF!)*(#REF!="")*RealceValor,0)</f>
        <v>0</v>
      </c>
      <c r="F32" s="69">
        <v>15595</v>
      </c>
      <c r="G32" s="77" t="s">
        <v>37</v>
      </c>
      <c r="H32" s="107">
        <v>2</v>
      </c>
      <c r="I32" s="116" t="s">
        <v>10</v>
      </c>
    </row>
    <row r="33" spans="2:9" ht="24" customHeight="1">
      <c r="B33" s="24">
        <f>IFERROR((#REF!&lt;=#REF!)*(#REF!="")*RealceValor,0)</f>
        <v>0</v>
      </c>
      <c r="F33" s="69">
        <v>54132</v>
      </c>
      <c r="G33" s="77" t="s">
        <v>38</v>
      </c>
      <c r="H33" s="107">
        <v>1</v>
      </c>
      <c r="I33" s="116" t="s">
        <v>10</v>
      </c>
    </row>
    <row r="34" spans="2:9" ht="24" customHeight="1">
      <c r="B34" s="24">
        <f>IFERROR((#REF!&lt;=#REF!)*(#REF!="")*RealceValor,0)</f>
        <v>0</v>
      </c>
      <c r="F34" s="67">
        <v>26817</v>
      </c>
      <c r="G34" s="77" t="s">
        <v>39</v>
      </c>
      <c r="H34" s="119">
        <v>18</v>
      </c>
      <c r="I34" s="116" t="s">
        <v>10</v>
      </c>
    </row>
    <row r="35" spans="2:9" ht="24" customHeight="1">
      <c r="B35" s="24">
        <f>IFERROR((#REF!&lt;=#REF!)*(#REF!="")*RealceValor,0)</f>
        <v>0</v>
      </c>
      <c r="F35" s="67">
        <v>59867</v>
      </c>
      <c r="G35" s="142" t="s">
        <v>40</v>
      </c>
      <c r="H35" s="119">
        <v>1</v>
      </c>
      <c r="I35" s="116" t="s">
        <v>10</v>
      </c>
    </row>
    <row r="36" spans="2:9" ht="24" customHeight="1">
      <c r="B36" s="24">
        <f>IFERROR((#REF!&lt;=#REF!)*(#REF!="")*RealceValor,0)</f>
        <v>0</v>
      </c>
      <c r="F36" s="68">
        <v>59869</v>
      </c>
      <c r="G36" s="142" t="s">
        <v>41</v>
      </c>
      <c r="H36" s="119">
        <v>1</v>
      </c>
      <c r="I36" s="116" t="s">
        <v>10</v>
      </c>
    </row>
    <row r="37" spans="2:9" ht="24" customHeight="1">
      <c r="B37" s="24">
        <f>IFERROR((#REF!&lt;=#REF!)*(#REF!="")*RealceValor,0)</f>
        <v>0</v>
      </c>
      <c r="F37" s="68">
        <v>81127</v>
      </c>
      <c r="G37" s="142" t="s">
        <v>42</v>
      </c>
      <c r="H37" s="119">
        <v>1</v>
      </c>
      <c r="I37" s="116" t="s">
        <v>10</v>
      </c>
    </row>
    <row r="38" spans="2:9" ht="24" customHeight="1">
      <c r="B38" s="24">
        <f>IFERROR((#REF!&lt;=#REF!)*(#REF!="")*RealceValor,0)</f>
        <v>0</v>
      </c>
      <c r="F38" s="118" t="s">
        <v>43</v>
      </c>
      <c r="G38" s="143" t="s">
        <v>43</v>
      </c>
      <c r="H38" s="117" t="s">
        <v>43</v>
      </c>
      <c r="I38" s="116"/>
    </row>
    <row r="39" spans="2:9" ht="24" customHeight="1">
      <c r="B39" s="24">
        <f>IFERROR((#REF!&lt;=#REF!)*(#REF!="")*RealceValor,0)</f>
        <v>0</v>
      </c>
      <c r="F39" s="148" t="s">
        <v>44</v>
      </c>
      <c r="G39" s="149"/>
      <c r="H39" s="149"/>
      <c r="I39" s="116"/>
    </row>
    <row r="40" spans="2:9" ht="24" customHeight="1">
      <c r="B40" s="24">
        <f>IFERROR((#REF!&lt;=#REF!)*(#REF!="")*RealceValor,0)</f>
        <v>0</v>
      </c>
      <c r="F40" s="66">
        <v>53263</v>
      </c>
      <c r="G40" s="77" t="s">
        <v>45</v>
      </c>
      <c r="H40" s="77">
        <v>122</v>
      </c>
      <c r="I40" s="116" t="s">
        <v>46</v>
      </c>
    </row>
    <row r="41" spans="2:9" ht="24" customHeight="1">
      <c r="B41" s="24">
        <f>IFERROR((#REF!&lt;=#REF!)*(#REF!="")*RealceValor,0)</f>
        <v>0</v>
      </c>
      <c r="F41" s="67">
        <v>53260</v>
      </c>
      <c r="G41" s="77" t="s">
        <v>47</v>
      </c>
      <c r="H41" s="107">
        <v>100</v>
      </c>
      <c r="I41" s="116" t="s">
        <v>46</v>
      </c>
    </row>
    <row r="42" spans="2:9" ht="24" customHeight="1">
      <c r="B42" s="24">
        <f>IFERROR((#REF!&lt;=#REF!)*(#REF!="")*RealceValor,0)</f>
        <v>0</v>
      </c>
      <c r="F42" s="67">
        <v>53278</v>
      </c>
      <c r="G42" s="77" t="s">
        <v>48</v>
      </c>
      <c r="H42" s="107">
        <v>36</v>
      </c>
      <c r="I42" s="116" t="s">
        <v>46</v>
      </c>
    </row>
    <row r="43" spans="2:9" ht="24" customHeight="1">
      <c r="B43" s="24">
        <f>IFERROR((#REF!&lt;=#REF!)*(#REF!="")*RealceValor,0)</f>
        <v>0</v>
      </c>
      <c r="F43" s="67">
        <v>53261</v>
      </c>
      <c r="G43" s="77" t="s">
        <v>49</v>
      </c>
      <c r="H43" s="107">
        <v>22</v>
      </c>
      <c r="I43" s="116" t="s">
        <v>46</v>
      </c>
    </row>
    <row r="44" spans="2:9" ht="24" customHeight="1">
      <c r="B44" s="24">
        <f>IFERROR((#REF!&lt;=#REF!)*(#REF!="")*RealceValor,0)</f>
        <v>0</v>
      </c>
      <c r="F44" s="67">
        <v>53300</v>
      </c>
      <c r="G44" s="77" t="s">
        <v>50</v>
      </c>
      <c r="H44" s="107">
        <v>35</v>
      </c>
      <c r="I44" s="116" t="s">
        <v>46</v>
      </c>
    </row>
    <row r="45" spans="2:9" ht="24" customHeight="1">
      <c r="B45" s="24">
        <f>IFERROR((#REF!&lt;=#REF!)*(#REF!="")*RealceValor,0)</f>
        <v>0</v>
      </c>
      <c r="F45" s="67">
        <v>53272</v>
      </c>
      <c r="G45" s="77" t="s">
        <v>51</v>
      </c>
      <c r="H45" s="107">
        <v>6</v>
      </c>
      <c r="I45" s="116" t="s">
        <v>46</v>
      </c>
    </row>
    <row r="46" spans="2:9" ht="24" customHeight="1">
      <c r="B46" s="24">
        <f>IFERROR((#REF!&lt;=#REF!)*(#REF!="")*RealceValor,0)</f>
        <v>0</v>
      </c>
      <c r="F46" s="67">
        <v>53279</v>
      </c>
      <c r="G46" s="77" t="s">
        <v>52</v>
      </c>
      <c r="H46" s="107">
        <v>100</v>
      </c>
      <c r="I46" s="116" t="s">
        <v>46</v>
      </c>
    </row>
    <row r="47" spans="2:9" ht="24" customHeight="1">
      <c r="B47" s="24">
        <f>IFERROR((#REF!&lt;=#REF!)*(#REF!="")*RealceValor,0)</f>
        <v>0</v>
      </c>
      <c r="F47" s="67">
        <v>53289</v>
      </c>
      <c r="G47" s="77" t="s">
        <v>53</v>
      </c>
      <c r="H47" s="107">
        <v>6</v>
      </c>
      <c r="I47" s="116" t="s">
        <v>46</v>
      </c>
    </row>
    <row r="48" spans="2:9" ht="24" customHeight="1">
      <c r="B48" s="24">
        <f>IFERROR((#REF!&lt;=#REF!)*(#REF!="")*RealceValor,0)</f>
        <v>0</v>
      </c>
      <c r="F48" s="67">
        <v>15681</v>
      </c>
      <c r="G48" s="77" t="s">
        <v>54</v>
      </c>
      <c r="H48" s="107">
        <v>6</v>
      </c>
      <c r="I48" s="116" t="s">
        <v>46</v>
      </c>
    </row>
    <row r="49" spans="2:9" ht="24" customHeight="1">
      <c r="B49" s="24">
        <f>IFERROR((#REF!&lt;=#REF!)*(#REF!="")*RealceValor,0)</f>
        <v>0</v>
      </c>
      <c r="F49" s="67">
        <v>53246</v>
      </c>
      <c r="G49" s="77" t="s">
        <v>55</v>
      </c>
      <c r="H49" s="107">
        <v>10</v>
      </c>
      <c r="I49" s="116" t="s">
        <v>46</v>
      </c>
    </row>
    <row r="50" spans="2:9" ht="35.1" customHeight="1">
      <c r="B50" s="24">
        <f>IFERROR((#REF!&lt;=#REF!)*(#REF!="")*RealceValor,0)</f>
        <v>0</v>
      </c>
      <c r="F50" s="68">
        <v>53257</v>
      </c>
      <c r="G50" s="77" t="s">
        <v>56</v>
      </c>
      <c r="H50" s="107">
        <v>24</v>
      </c>
      <c r="I50" s="116" t="s">
        <v>46</v>
      </c>
    </row>
    <row r="51" spans="2:9" ht="24" customHeight="1">
      <c r="B51" s="24">
        <f>IFERROR((#REF!&lt;=#REF!)*(#REF!="")*RealceValor,0)</f>
        <v>0</v>
      </c>
      <c r="F51" s="67">
        <v>53262</v>
      </c>
      <c r="G51" s="77" t="s">
        <v>57</v>
      </c>
      <c r="H51" s="107">
        <v>12</v>
      </c>
      <c r="I51" s="116" t="s">
        <v>46</v>
      </c>
    </row>
    <row r="52" spans="2:9" ht="24" customHeight="1">
      <c r="B52" s="24">
        <f>IFERROR((#REF!&lt;=#REF!)*(#REF!="")*RealceValor,0)</f>
        <v>0</v>
      </c>
      <c r="F52" s="67">
        <v>53236</v>
      </c>
      <c r="G52" s="73" t="s">
        <v>58</v>
      </c>
      <c r="H52" s="107">
        <v>30</v>
      </c>
      <c r="I52" s="116" t="s">
        <v>46</v>
      </c>
    </row>
    <row r="53" spans="2:9" ht="24" customHeight="1">
      <c r="B53" s="24">
        <f>IFERROR((#REF!&lt;=#REF!)*(#REF!="")*RealceValor,0)</f>
        <v>0</v>
      </c>
      <c r="F53" s="67">
        <v>53259</v>
      </c>
      <c r="G53" s="77" t="s">
        <v>59</v>
      </c>
      <c r="H53" s="107">
        <v>20</v>
      </c>
      <c r="I53" s="116" t="s">
        <v>46</v>
      </c>
    </row>
    <row r="54" spans="2:9" ht="24" customHeight="1">
      <c r="B54" s="24">
        <f>IFERROR((#REF!&lt;=#REF!)*(#REF!="")*RealceValor,0)</f>
        <v>0</v>
      </c>
      <c r="F54" s="67">
        <v>53298</v>
      </c>
      <c r="G54" s="73" t="s">
        <v>60</v>
      </c>
      <c r="H54" s="107">
        <v>30</v>
      </c>
      <c r="I54" s="116" t="s">
        <v>46</v>
      </c>
    </row>
    <row r="55" spans="2:9" ht="24" customHeight="1">
      <c r="B55" s="24">
        <f>IFERROR((#REF!&lt;=#REF!)*(#REF!="")*RealceValor,0)</f>
        <v>0</v>
      </c>
      <c r="F55" s="67">
        <v>65799</v>
      </c>
      <c r="G55" s="77" t="s">
        <v>61</v>
      </c>
      <c r="H55" s="107">
        <v>1</v>
      </c>
      <c r="I55" s="116" t="s">
        <v>46</v>
      </c>
    </row>
    <row r="56" spans="2:9" ht="24" customHeight="1">
      <c r="B56" s="24">
        <f>IFERROR((#REF!&lt;=#REF!)*(#REF!="")*RealceValor,0)</f>
        <v>0</v>
      </c>
      <c r="F56" s="67">
        <v>66570</v>
      </c>
      <c r="G56" s="77" t="s">
        <v>62</v>
      </c>
      <c r="H56" s="107">
        <v>12</v>
      </c>
      <c r="I56" s="116" t="s">
        <v>46</v>
      </c>
    </row>
    <row r="57" spans="2:9" ht="24" customHeight="1">
      <c r="B57" s="24">
        <f>IFERROR((#REF!&lt;=#REF!)*(#REF!="")*RealceValor,0)</f>
        <v>0</v>
      </c>
      <c r="F57" s="67">
        <v>66427</v>
      </c>
      <c r="G57" s="77" t="s">
        <v>63</v>
      </c>
      <c r="H57" s="107">
        <v>15</v>
      </c>
      <c r="I57" s="116" t="s">
        <v>46</v>
      </c>
    </row>
    <row r="58" spans="2:9" ht="24" customHeight="1">
      <c r="B58" s="24">
        <f>IFERROR((#REF!&lt;=#REF!)*(#REF!="")*RealceValor,0)</f>
        <v>0</v>
      </c>
      <c r="F58" s="67">
        <v>66569</v>
      </c>
      <c r="G58" s="77" t="s">
        <v>64</v>
      </c>
      <c r="H58" s="107">
        <v>15</v>
      </c>
      <c r="I58" s="116" t="s">
        <v>46</v>
      </c>
    </row>
    <row r="59" spans="2:9" ht="24" customHeight="1">
      <c r="B59" s="24">
        <f>IFERROR((#REF!&lt;=#REF!)*(#REF!="")*RealceValor,0)</f>
        <v>0</v>
      </c>
      <c r="F59" s="67">
        <v>53297</v>
      </c>
      <c r="G59" s="77" t="s">
        <v>65</v>
      </c>
      <c r="H59" s="107">
        <v>3</v>
      </c>
      <c r="I59" s="116" t="s">
        <v>46</v>
      </c>
    </row>
    <row r="60" spans="2:9" ht="24" customHeight="1">
      <c r="B60" s="24">
        <f>IFERROR((#REF!&lt;=#REF!)*(#REF!="")*RealceValor,0)</f>
        <v>0</v>
      </c>
      <c r="F60" s="67">
        <v>28383</v>
      </c>
      <c r="G60" s="77" t="s">
        <v>66</v>
      </c>
      <c r="H60" s="107">
        <v>6</v>
      </c>
      <c r="I60" s="116" t="s">
        <v>46</v>
      </c>
    </row>
    <row r="61" spans="2:9" ht="24" customHeight="1">
      <c r="B61" s="24">
        <f>IFERROR((#REF!&lt;=#REF!)*(#REF!="")*RealceValor,0)</f>
        <v>0</v>
      </c>
      <c r="F61" s="67">
        <v>24145</v>
      </c>
      <c r="G61" s="77" t="s">
        <v>67</v>
      </c>
      <c r="H61" s="107">
        <v>60</v>
      </c>
      <c r="I61" s="116" t="s">
        <v>46</v>
      </c>
    </row>
    <row r="62" spans="2:9" ht="24" customHeight="1">
      <c r="B62" s="24">
        <f>IFERROR((#REF!&lt;=#REF!)*(#REF!="")*RealceValor,0)</f>
        <v>0</v>
      </c>
      <c r="F62" s="67">
        <v>28525</v>
      </c>
      <c r="G62" s="77" t="s">
        <v>68</v>
      </c>
      <c r="H62" s="107">
        <v>100</v>
      </c>
      <c r="I62" s="116" t="s">
        <v>46</v>
      </c>
    </row>
    <row r="63" spans="2:9" ht="24" customHeight="1">
      <c r="B63" s="24">
        <f>IFERROR((#REF!&lt;=#REF!)*(#REF!="")*RealceValor,0)</f>
        <v>0</v>
      </c>
      <c r="F63" s="67">
        <v>19436</v>
      </c>
      <c r="G63" s="77" t="s">
        <v>69</v>
      </c>
      <c r="H63" s="107">
        <v>100</v>
      </c>
      <c r="I63" s="116" t="s">
        <v>46</v>
      </c>
    </row>
    <row r="64" spans="2:9" ht="24" customHeight="1">
      <c r="B64" s="24">
        <f>IFERROR((#REF!&lt;=#REF!)*(#REF!="")*RealceValor,0)</f>
        <v>0</v>
      </c>
      <c r="F64" s="67">
        <v>53232</v>
      </c>
      <c r="G64" s="77" t="s">
        <v>70</v>
      </c>
      <c r="H64" s="107">
        <v>6</v>
      </c>
      <c r="I64" s="116" t="s">
        <v>46</v>
      </c>
    </row>
    <row r="65" spans="2:9" ht="24" customHeight="1">
      <c r="B65" s="24">
        <f>IFERROR((#REF!&lt;=#REF!)*(#REF!="")*RealceValor,0)</f>
        <v>0</v>
      </c>
      <c r="F65" s="67">
        <v>53233</v>
      </c>
      <c r="G65" s="77" t="s">
        <v>71</v>
      </c>
      <c r="H65" s="107">
        <v>2</v>
      </c>
      <c r="I65" s="116" t="s">
        <v>46</v>
      </c>
    </row>
    <row r="66" spans="2:9" ht="24" customHeight="1">
      <c r="F66" s="67">
        <v>53294</v>
      </c>
      <c r="G66" s="77" t="s">
        <v>72</v>
      </c>
      <c r="H66" s="107">
        <v>3</v>
      </c>
      <c r="I66" s="116" t="s">
        <v>46</v>
      </c>
    </row>
    <row r="67" spans="2:9" ht="24" customHeight="1">
      <c r="F67" s="67">
        <v>98762</v>
      </c>
      <c r="G67" s="77" t="s">
        <v>73</v>
      </c>
      <c r="H67" s="107">
        <v>15</v>
      </c>
      <c r="I67" s="116" t="s">
        <v>46</v>
      </c>
    </row>
    <row r="68" spans="2:9" ht="24" customHeight="1">
      <c r="F68" s="67">
        <v>40667</v>
      </c>
      <c r="G68" s="77" t="s">
        <v>74</v>
      </c>
      <c r="H68" s="107">
        <v>15</v>
      </c>
      <c r="I68" s="116" t="s">
        <v>46</v>
      </c>
    </row>
    <row r="69" spans="2:9" ht="24" customHeight="1">
      <c r="F69" s="67">
        <v>21898</v>
      </c>
      <c r="G69" s="77" t="s">
        <v>75</v>
      </c>
      <c r="H69" s="107">
        <v>14</v>
      </c>
      <c r="I69" s="116" t="s">
        <v>46</v>
      </c>
    </row>
    <row r="70" spans="2:9" ht="24" customHeight="1">
      <c r="F70" s="74">
        <v>53256</v>
      </c>
      <c r="G70" s="96" t="s">
        <v>76</v>
      </c>
      <c r="H70" s="108">
        <v>14</v>
      </c>
      <c r="I70" s="115" t="s">
        <v>46</v>
      </c>
    </row>
    <row r="71" spans="2:9" ht="24" customHeight="1">
      <c r="F71" s="19"/>
      <c r="G71" s="19"/>
      <c r="H71" s="113"/>
    </row>
    <row r="72" spans="2:9" ht="24" customHeight="1">
      <c r="F72" s="22"/>
      <c r="G72" s="22"/>
      <c r="H72" s="114"/>
    </row>
    <row r="73" spans="2:9" ht="24" customHeight="1">
      <c r="F73" s="19"/>
      <c r="G73" s="19"/>
      <c r="H73" s="113"/>
    </row>
    <row r="74" spans="2:9" ht="24" customHeight="1">
      <c r="F74" s="22"/>
      <c r="G74" s="22"/>
      <c r="H74" s="114"/>
    </row>
    <row r="75" spans="2:9" ht="24" customHeight="1">
      <c r="F75" s="19"/>
      <c r="G75" s="19"/>
      <c r="H75" s="113"/>
    </row>
    <row r="76" spans="2:9" ht="24" customHeight="1">
      <c r="F76" s="22"/>
      <c r="G76" s="22"/>
      <c r="H76" s="114"/>
    </row>
    <row r="77" spans="2:9" ht="24" customHeight="1">
      <c r="F77" s="19"/>
      <c r="G77" s="19"/>
      <c r="H77" s="113"/>
    </row>
    <row r="78" spans="2:9" ht="24" customHeight="1">
      <c r="F78" s="22"/>
      <c r="G78" s="22"/>
      <c r="H78" s="114"/>
    </row>
    <row r="79" spans="2:9" ht="24" customHeight="1">
      <c r="F79" s="19"/>
      <c r="G79" s="19"/>
      <c r="H79" s="113"/>
    </row>
    <row r="80" spans="2:9" ht="24" customHeight="1">
      <c r="F80" s="22"/>
      <c r="G80" s="22"/>
      <c r="H80" s="114"/>
    </row>
    <row r="81" spans="6:8" ht="24" customHeight="1">
      <c r="F81" s="19"/>
      <c r="G81" s="19"/>
      <c r="H81" s="113"/>
    </row>
    <row r="82" spans="6:8" ht="24" customHeight="1">
      <c r="F82" s="22"/>
      <c r="G82" s="22"/>
      <c r="H82" s="114"/>
    </row>
    <row r="83" spans="6:8" ht="24" customHeight="1">
      <c r="F83" s="19"/>
      <c r="G83" s="19"/>
      <c r="H83" s="113"/>
    </row>
  </sheetData>
  <autoFilter ref="F4:G83" xr:uid="{FB158200-678A-47BC-B3D2-BF61A93DE5B8}"/>
  <mergeCells count="2">
    <mergeCell ref="F39:H39"/>
    <mergeCell ref="F2:H2"/>
  </mergeCells>
  <conditionalFormatting sqref="B5:D65 F71:F83">
    <cfRule type="expression" dxfId="204" priority="4">
      <formula>#REF!="Sim"</formula>
    </cfRule>
  </conditionalFormatting>
  <conditionalFormatting sqref="B5:D65">
    <cfRule type="expression" dxfId="203" priority="5">
      <formula>$B5=1</formula>
    </cfRule>
  </conditionalFormatting>
  <conditionalFormatting sqref="F71:G83">
    <cfRule type="expression" dxfId="202" priority="2">
      <formula>$B71=1</formula>
    </cfRule>
  </conditionalFormatting>
  <conditionalFormatting sqref="G71:G83">
    <cfRule type="expression" dxfId="201" priority="1">
      <formula>#REF!="Sim"</formula>
    </cfRule>
  </conditionalFormatting>
  <dataValidations count="6"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1179CE3F-77BC-4656-A1B8-24C7F870DCA2}"/>
    <dataValidation allowBlank="1" showInputMessage="1" showErrorMessage="1" prompt="Insira uma descrição do item nesta coluna" sqref="G4" xr:uid="{175B27C4-9401-4D69-88F4-1B48441B11DB}"/>
    <dataValidation allowBlank="1" showInputMessage="1" showErrorMessage="1" prompt="Insira a ID de estoque do item nesta coluna" sqref="F4" xr:uid="{23B45943-7915-4EA8-99F6-F123817840F8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450CF147-C96F-48DA-90DB-DBFCA94E0D46}"/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FF700842-C7AB-493F-A4A9-53E4D619C9E7}"/>
    <dataValidation allowBlank="1" showInputMessage="1" showErrorMessage="1" prompt="Insira a quantidade em estoque de cada item nesta coluna" sqref="H4" xr:uid="{D7BA1E9B-29A7-4598-AF4C-F1D2AE00BFD3}"/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D1BBAA61-291E-4715-A391-183EE7B92B5E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B5:D65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BDB5-87CF-45E0-A500-95F76B51D192}">
  <sheetPr>
    <pageSetUpPr fitToPage="1"/>
  </sheetPr>
  <dimension ref="B1:S86"/>
  <sheetViews>
    <sheetView showGridLines="0" zoomScale="70" zoomScaleNormal="70" workbookViewId="0">
      <selection activeCell="L2" sqref="L2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6" width="8.77734375" style="4"/>
    <col min="7" max="7" width="58.109375" style="4" bestFit="1" customWidth="1"/>
    <col min="8" max="10" width="8.77734375" style="4"/>
    <col min="11" max="11" width="8.77734375" style="4" customWidth="1"/>
    <col min="12" max="12" width="64" style="4" bestFit="1" customWidth="1"/>
    <col min="13" max="16" width="8.77734375" style="4"/>
    <col min="17" max="17" width="58.109375" style="4" bestFit="1" customWidth="1"/>
    <col min="18" max="16384" width="8.77734375" style="4"/>
  </cols>
  <sheetData>
    <row r="1" spans="2:19" s="1" customFormat="1" ht="116.25" customHeight="1">
      <c r="B1" s="2"/>
      <c r="C1" s="2"/>
      <c r="D1" s="2"/>
    </row>
    <row r="2" spans="2:19" s="1" customFormat="1" ht="116.25" customHeight="1">
      <c r="B2" s="2"/>
      <c r="C2" s="2"/>
      <c r="D2" s="2"/>
    </row>
    <row r="3" spans="2:19" ht="23.25" customHeight="1"/>
    <row r="4" spans="2:19" s="3" customFormat="1" ht="50.1" customHeight="1">
      <c r="B4" s="9" t="s">
        <v>3</v>
      </c>
      <c r="C4" s="9" t="s">
        <v>4</v>
      </c>
      <c r="D4" s="9" t="s">
        <v>5</v>
      </c>
      <c r="F4" s="81" t="s">
        <v>77</v>
      </c>
      <c r="G4" s="82" t="s">
        <v>78</v>
      </c>
      <c r="H4" s="82"/>
      <c r="I4" s="105" t="s">
        <v>8</v>
      </c>
      <c r="J4" s="83"/>
      <c r="K4" s="81" t="s">
        <v>77</v>
      </c>
      <c r="L4" s="150" t="s">
        <v>79</v>
      </c>
      <c r="M4" s="151"/>
      <c r="N4" s="105" t="s">
        <v>8</v>
      </c>
      <c r="O4" s="83"/>
      <c r="P4" s="84" t="s">
        <v>77</v>
      </c>
      <c r="Q4" s="152" t="s">
        <v>80</v>
      </c>
      <c r="R4" s="153"/>
      <c r="S4" s="105" t="s">
        <v>8</v>
      </c>
    </row>
    <row r="5" spans="2:19" ht="24" customHeight="1">
      <c r="B5" s="3">
        <f>IFERROR((#REF!&lt;=#REF!)*(#REF!="")*RealceValor,0)</f>
        <v>0</v>
      </c>
      <c r="F5" s="67">
        <v>25391</v>
      </c>
      <c r="G5" s="77" t="s">
        <v>12</v>
      </c>
      <c r="H5" s="107">
        <v>48</v>
      </c>
      <c r="I5" s="106" t="s">
        <v>10</v>
      </c>
      <c r="J5" s="83"/>
      <c r="K5" s="67">
        <v>25391</v>
      </c>
      <c r="L5" s="73" t="s">
        <v>12</v>
      </c>
      <c r="M5" s="71">
        <v>48</v>
      </c>
      <c r="N5" s="106" t="s">
        <v>10</v>
      </c>
      <c r="O5" s="83"/>
      <c r="P5" s="85">
        <v>25391</v>
      </c>
      <c r="Q5" s="86" t="s">
        <v>12</v>
      </c>
      <c r="R5" s="87">
        <v>48</v>
      </c>
      <c r="S5" s="106" t="s">
        <v>10</v>
      </c>
    </row>
    <row r="6" spans="2:19" ht="24" customHeight="1">
      <c r="B6" s="3">
        <f>IFERROR((#REF!&lt;=#REF!)*(#REF!="")*RealceValor,0)</f>
        <v>0</v>
      </c>
      <c r="F6" s="67">
        <v>16881</v>
      </c>
      <c r="G6" s="77" t="s">
        <v>11</v>
      </c>
      <c r="H6" s="107">
        <v>156</v>
      </c>
      <c r="I6" s="106" t="s">
        <v>10</v>
      </c>
      <c r="J6" s="83"/>
      <c r="K6" s="67">
        <v>16881</v>
      </c>
      <c r="L6" s="73" t="s">
        <v>11</v>
      </c>
      <c r="M6" s="71">
        <v>156</v>
      </c>
      <c r="N6" s="106" t="s">
        <v>10</v>
      </c>
      <c r="O6" s="83"/>
      <c r="P6" s="67">
        <v>16881</v>
      </c>
      <c r="Q6" s="73" t="s">
        <v>11</v>
      </c>
      <c r="R6" s="71">
        <v>156</v>
      </c>
      <c r="S6" s="106" t="s">
        <v>10</v>
      </c>
    </row>
    <row r="7" spans="2:19" ht="24" customHeight="1">
      <c r="B7" s="3">
        <f>IFERROR((#REF!&lt;=#REF!)*(#REF!="")*RealceValor,0)</f>
        <v>0</v>
      </c>
      <c r="F7" s="67">
        <v>29711</v>
      </c>
      <c r="G7" s="77" t="s">
        <v>13</v>
      </c>
      <c r="H7" s="107">
        <v>24</v>
      </c>
      <c r="I7" s="106" t="s">
        <v>10</v>
      </c>
      <c r="J7" s="83"/>
      <c r="K7" s="67">
        <v>29711</v>
      </c>
      <c r="L7" s="73" t="s">
        <v>13</v>
      </c>
      <c r="M7" s="71">
        <v>24</v>
      </c>
      <c r="N7" s="106" t="s">
        <v>10</v>
      </c>
      <c r="O7" s="83"/>
      <c r="P7" s="67">
        <v>29711</v>
      </c>
      <c r="Q7" s="73" t="s">
        <v>13</v>
      </c>
      <c r="R7" s="71">
        <v>26</v>
      </c>
      <c r="S7" s="106" t="s">
        <v>10</v>
      </c>
    </row>
    <row r="8" spans="2:19" ht="24" customHeight="1">
      <c r="B8" s="3">
        <f>IFERROR((#REF!&lt;=#REF!)*(#REF!="")*RealceValor,0)</f>
        <v>0</v>
      </c>
      <c r="F8" s="68">
        <v>26236</v>
      </c>
      <c r="G8" s="77" t="s">
        <v>14</v>
      </c>
      <c r="H8" s="107">
        <v>36</v>
      </c>
      <c r="I8" s="106" t="s">
        <v>10</v>
      </c>
      <c r="J8" s="83"/>
      <c r="K8" s="68">
        <v>26236</v>
      </c>
      <c r="L8" s="73" t="s">
        <v>14</v>
      </c>
      <c r="M8" s="71">
        <v>36</v>
      </c>
      <c r="N8" s="106" t="s">
        <v>10</v>
      </c>
      <c r="O8" s="83"/>
      <c r="P8" s="68">
        <v>26236</v>
      </c>
      <c r="Q8" s="73" t="s">
        <v>14</v>
      </c>
      <c r="R8" s="71">
        <v>36</v>
      </c>
      <c r="S8" s="106" t="s">
        <v>10</v>
      </c>
    </row>
    <row r="9" spans="2:19" ht="24" customHeight="1">
      <c r="B9" s="3">
        <f>IFERROR((#REF!&lt;=#REF!)*(#REF!="")*RealceValor,0)</f>
        <v>0</v>
      </c>
      <c r="F9" s="67">
        <v>26072</v>
      </c>
      <c r="G9" s="77" t="s">
        <v>16</v>
      </c>
      <c r="H9" s="107">
        <v>36</v>
      </c>
      <c r="I9" s="106" t="s">
        <v>10</v>
      </c>
      <c r="J9" s="83"/>
      <c r="K9" s="67">
        <v>26072</v>
      </c>
      <c r="L9" s="73" t="s">
        <v>16</v>
      </c>
      <c r="M9" s="71">
        <v>36</v>
      </c>
      <c r="N9" s="106" t="s">
        <v>10</v>
      </c>
      <c r="O9" s="83"/>
      <c r="P9" s="67">
        <v>26072</v>
      </c>
      <c r="Q9" s="73" t="s">
        <v>16</v>
      </c>
      <c r="R9" s="71">
        <v>36</v>
      </c>
      <c r="S9" s="106" t="s">
        <v>10</v>
      </c>
    </row>
    <row r="10" spans="2:19" ht="24" customHeight="1">
      <c r="B10" s="3">
        <f>IFERROR((#REF!&lt;=#REF!)*(#REF!="")*RealceValor,0)</f>
        <v>0</v>
      </c>
      <c r="F10" s="67">
        <v>91813</v>
      </c>
      <c r="G10" s="77" t="s">
        <v>20</v>
      </c>
      <c r="H10" s="107">
        <v>12</v>
      </c>
      <c r="I10" s="106" t="s">
        <v>10</v>
      </c>
      <c r="J10" s="83"/>
      <c r="K10" s="67">
        <v>91813</v>
      </c>
      <c r="L10" s="73" t="s">
        <v>20</v>
      </c>
      <c r="M10" s="71">
        <v>12</v>
      </c>
      <c r="N10" s="106" t="s">
        <v>10</v>
      </c>
      <c r="O10" s="83"/>
      <c r="P10" s="67">
        <v>91813</v>
      </c>
      <c r="Q10" s="73" t="s">
        <v>20</v>
      </c>
      <c r="R10" s="71">
        <v>12</v>
      </c>
      <c r="S10" s="106" t="s">
        <v>10</v>
      </c>
    </row>
    <row r="11" spans="2:19" ht="24" customHeight="1">
      <c r="B11" s="3">
        <f>IFERROR((#REF!&lt;=#REF!)*(#REF!="")*RealceValor,0)</f>
        <v>0</v>
      </c>
      <c r="F11" s="67">
        <v>29111</v>
      </c>
      <c r="G11" s="77" t="s">
        <v>21</v>
      </c>
      <c r="H11" s="107">
        <v>12</v>
      </c>
      <c r="I11" s="106" t="s">
        <v>10</v>
      </c>
      <c r="J11" s="83"/>
      <c r="K11" s="67">
        <v>29111</v>
      </c>
      <c r="L11" s="73" t="s">
        <v>21</v>
      </c>
      <c r="M11" s="71">
        <v>12</v>
      </c>
      <c r="N11" s="106" t="s">
        <v>10</v>
      </c>
      <c r="O11" s="83"/>
      <c r="P11" s="67">
        <v>29111</v>
      </c>
      <c r="Q11" s="73" t="s">
        <v>21</v>
      </c>
      <c r="R11" s="71">
        <v>12</v>
      </c>
      <c r="S11" s="106" t="s">
        <v>10</v>
      </c>
    </row>
    <row r="12" spans="2:19" ht="24" customHeight="1">
      <c r="B12" s="3">
        <f>IFERROR((#REF!&lt;=#REF!)*(#REF!="")*RealceValor,0)</f>
        <v>0</v>
      </c>
      <c r="F12" s="67">
        <v>26492</v>
      </c>
      <c r="G12" s="77" t="s">
        <v>17</v>
      </c>
      <c r="H12" s="107">
        <v>24</v>
      </c>
      <c r="I12" s="106" t="s">
        <v>10</v>
      </c>
      <c r="J12" s="83"/>
      <c r="K12" s="67">
        <v>26492</v>
      </c>
      <c r="L12" s="73" t="s">
        <v>17</v>
      </c>
      <c r="M12" s="71">
        <v>24</v>
      </c>
      <c r="N12" s="106" t="s">
        <v>10</v>
      </c>
      <c r="O12" s="83"/>
      <c r="P12" s="67">
        <v>26492</v>
      </c>
      <c r="Q12" s="73" t="s">
        <v>17</v>
      </c>
      <c r="R12" s="71">
        <v>24</v>
      </c>
      <c r="S12" s="106" t="s">
        <v>10</v>
      </c>
    </row>
    <row r="13" spans="2:19" ht="24" customHeight="1">
      <c r="B13" s="3">
        <f>IFERROR((#REF!&lt;=#REF!)*(#REF!="")*RealceValor,0)</f>
        <v>0</v>
      </c>
      <c r="F13" s="67">
        <v>26591</v>
      </c>
      <c r="G13" s="77" t="s">
        <v>18</v>
      </c>
      <c r="H13" s="107">
        <v>24</v>
      </c>
      <c r="I13" s="106" t="s">
        <v>10</v>
      </c>
      <c r="J13" s="83"/>
      <c r="K13" s="67">
        <v>26591</v>
      </c>
      <c r="L13" s="73" t="s">
        <v>18</v>
      </c>
      <c r="M13" s="71">
        <v>24</v>
      </c>
      <c r="N13" s="106" t="s">
        <v>10</v>
      </c>
      <c r="O13" s="83"/>
      <c r="P13" s="67">
        <v>26591</v>
      </c>
      <c r="Q13" s="73" t="s">
        <v>18</v>
      </c>
      <c r="R13" s="71">
        <v>24</v>
      </c>
      <c r="S13" s="106" t="s">
        <v>10</v>
      </c>
    </row>
    <row r="14" spans="2:19" ht="24" customHeight="1">
      <c r="B14" s="3">
        <f>IFERROR((#REF!&lt;=#REF!)*(#REF!="")*RealceValor,0)</f>
        <v>0</v>
      </c>
      <c r="F14" s="67">
        <v>25913</v>
      </c>
      <c r="G14" s="77" t="s">
        <v>19</v>
      </c>
      <c r="H14" s="107">
        <v>24</v>
      </c>
      <c r="I14" s="106" t="s">
        <v>10</v>
      </c>
      <c r="J14" s="83"/>
      <c r="K14" s="67">
        <v>25913</v>
      </c>
      <c r="L14" s="73" t="s">
        <v>19</v>
      </c>
      <c r="M14" s="71">
        <v>24</v>
      </c>
      <c r="N14" s="106" t="s">
        <v>10</v>
      </c>
      <c r="O14" s="83"/>
      <c r="P14" s="67">
        <v>25913</v>
      </c>
      <c r="Q14" s="73" t="s">
        <v>19</v>
      </c>
      <c r="R14" s="71">
        <v>24</v>
      </c>
      <c r="S14" s="106" t="s">
        <v>10</v>
      </c>
    </row>
    <row r="15" spans="2:19" ht="24" customHeight="1">
      <c r="B15" s="3">
        <f>IFERROR((#REF!&lt;=#REF!)*(#REF!="")*RealceValor,0)</f>
        <v>0</v>
      </c>
      <c r="F15" s="67">
        <v>19110</v>
      </c>
      <c r="G15" s="77" t="s">
        <v>22</v>
      </c>
      <c r="H15" s="107">
        <v>12</v>
      </c>
      <c r="I15" s="106" t="s">
        <v>10</v>
      </c>
      <c r="J15" s="83"/>
      <c r="K15" s="67">
        <v>19110</v>
      </c>
      <c r="L15" s="73" t="s">
        <v>22</v>
      </c>
      <c r="M15" s="71">
        <v>12</v>
      </c>
      <c r="N15" s="106" t="s">
        <v>10</v>
      </c>
      <c r="O15" s="83"/>
      <c r="P15" s="67">
        <v>19110</v>
      </c>
      <c r="Q15" s="73" t="s">
        <v>22</v>
      </c>
      <c r="R15" s="71">
        <v>12</v>
      </c>
      <c r="S15" s="106" t="s">
        <v>10</v>
      </c>
    </row>
    <row r="16" spans="2:19" ht="24" customHeight="1">
      <c r="B16" s="3">
        <f>IFERROR((#REF!&lt;=#REF!)*(#REF!="")*RealceValor,0)</f>
        <v>0</v>
      </c>
      <c r="F16" s="67">
        <v>16906</v>
      </c>
      <c r="G16" s="77" t="s">
        <v>81</v>
      </c>
      <c r="H16" s="107">
        <v>12</v>
      </c>
      <c r="I16" s="106" t="s">
        <v>10</v>
      </c>
      <c r="J16" s="83"/>
      <c r="K16" s="67">
        <v>16906</v>
      </c>
      <c r="L16" s="73" t="s">
        <v>81</v>
      </c>
      <c r="M16" s="71">
        <v>12</v>
      </c>
      <c r="N16" s="106" t="s">
        <v>10</v>
      </c>
      <c r="O16" s="83"/>
      <c r="P16" s="67">
        <v>16906</v>
      </c>
      <c r="Q16" s="73" t="s">
        <v>81</v>
      </c>
      <c r="R16" s="71">
        <v>12</v>
      </c>
      <c r="S16" s="106" t="s">
        <v>10</v>
      </c>
    </row>
    <row r="17" spans="2:19" ht="24" customHeight="1">
      <c r="B17" s="3">
        <f>IFERROR((#REF!&lt;=#REF!)*(#REF!="")*RealceValor,0)</f>
        <v>0</v>
      </c>
      <c r="F17" s="67">
        <v>25393</v>
      </c>
      <c r="G17" s="77" t="s">
        <v>82</v>
      </c>
      <c r="H17" s="107">
        <v>6</v>
      </c>
      <c r="I17" s="106" t="s">
        <v>10</v>
      </c>
      <c r="J17" s="83"/>
      <c r="K17" s="67">
        <v>26139</v>
      </c>
      <c r="L17" s="73" t="s">
        <v>83</v>
      </c>
      <c r="M17" s="71">
        <v>6</v>
      </c>
      <c r="N17" s="106" t="s">
        <v>10</v>
      </c>
      <c r="O17" s="83"/>
      <c r="P17" s="67">
        <v>26139</v>
      </c>
      <c r="Q17" s="73" t="s">
        <v>83</v>
      </c>
      <c r="R17" s="71">
        <v>6</v>
      </c>
      <c r="S17" s="106" t="s">
        <v>10</v>
      </c>
    </row>
    <row r="18" spans="2:19" ht="24" customHeight="1">
      <c r="B18" s="3">
        <f>IFERROR((#REF!&lt;=#REF!)*(#REF!="")*RealceValor,0)</f>
        <v>0</v>
      </c>
      <c r="F18" s="67">
        <v>25526</v>
      </c>
      <c r="G18" s="77" t="s">
        <v>84</v>
      </c>
      <c r="H18" s="107">
        <v>6</v>
      </c>
      <c r="I18" s="106" t="s">
        <v>10</v>
      </c>
      <c r="J18" s="83"/>
      <c r="K18" s="67">
        <v>32101</v>
      </c>
      <c r="L18" s="73" t="s">
        <v>85</v>
      </c>
      <c r="M18" s="71">
        <v>12</v>
      </c>
      <c r="N18" s="106" t="s">
        <v>10</v>
      </c>
      <c r="O18" s="83"/>
      <c r="P18" s="67">
        <v>32101</v>
      </c>
      <c r="Q18" s="73" t="s">
        <v>85</v>
      </c>
      <c r="R18" s="71">
        <v>12</v>
      </c>
      <c r="S18" s="106" t="s">
        <v>10</v>
      </c>
    </row>
    <row r="19" spans="2:19" ht="24" customHeight="1">
      <c r="B19" s="3">
        <f>IFERROR((#REF!&lt;=#REF!)*(#REF!="")*RealceValor,0)</f>
        <v>0</v>
      </c>
      <c r="F19" s="67">
        <v>19896</v>
      </c>
      <c r="G19" s="77" t="s">
        <v>26</v>
      </c>
      <c r="H19" s="107">
        <v>25</v>
      </c>
      <c r="I19" s="106" t="s">
        <v>10</v>
      </c>
      <c r="J19" s="83"/>
      <c r="K19" s="67">
        <v>19896</v>
      </c>
      <c r="L19" s="73" t="s">
        <v>26</v>
      </c>
      <c r="M19" s="71">
        <v>25</v>
      </c>
      <c r="N19" s="106" t="s">
        <v>10</v>
      </c>
      <c r="O19" s="83"/>
      <c r="P19" s="67">
        <v>19896</v>
      </c>
      <c r="Q19" s="73" t="s">
        <v>26</v>
      </c>
      <c r="R19" s="71">
        <v>25</v>
      </c>
      <c r="S19" s="106" t="s">
        <v>10</v>
      </c>
    </row>
    <row r="20" spans="2:19" ht="24" customHeight="1">
      <c r="B20" s="3">
        <f>IFERROR((#REF!&lt;=#REF!)*(#REF!="")*RealceValor,0)</f>
        <v>0</v>
      </c>
      <c r="F20" s="67">
        <v>81485</v>
      </c>
      <c r="G20" s="77" t="s">
        <v>27</v>
      </c>
      <c r="H20" s="107">
        <v>30</v>
      </c>
      <c r="I20" s="106" t="s">
        <v>10</v>
      </c>
      <c r="J20" s="83"/>
      <c r="K20" s="67">
        <v>81485</v>
      </c>
      <c r="L20" s="73" t="s">
        <v>27</v>
      </c>
      <c r="M20" s="71">
        <v>30</v>
      </c>
      <c r="N20" s="106" t="s">
        <v>10</v>
      </c>
      <c r="O20" s="83"/>
      <c r="P20" s="67">
        <v>81485</v>
      </c>
      <c r="Q20" s="73" t="s">
        <v>27</v>
      </c>
      <c r="R20" s="71">
        <v>30</v>
      </c>
      <c r="S20" s="106" t="s">
        <v>10</v>
      </c>
    </row>
    <row r="21" spans="2:19" ht="24" customHeight="1">
      <c r="B21" s="3">
        <f>IFERROR((#REF!&lt;=#REF!)*(#REF!="")*RealceValor,0)</f>
        <v>0</v>
      </c>
      <c r="F21" s="67">
        <v>71553</v>
      </c>
      <c r="G21" s="77" t="s">
        <v>28</v>
      </c>
      <c r="H21" s="107">
        <v>30</v>
      </c>
      <c r="I21" s="106" t="s">
        <v>10</v>
      </c>
      <c r="J21" s="83"/>
      <c r="K21" s="67">
        <v>71553</v>
      </c>
      <c r="L21" s="73" t="s">
        <v>28</v>
      </c>
      <c r="M21" s="71">
        <v>30</v>
      </c>
      <c r="N21" s="106" t="s">
        <v>10</v>
      </c>
      <c r="O21" s="83"/>
      <c r="P21" s="67">
        <v>71553</v>
      </c>
      <c r="Q21" s="73" t="s">
        <v>28</v>
      </c>
      <c r="R21" s="71">
        <v>30</v>
      </c>
      <c r="S21" s="106" t="s">
        <v>10</v>
      </c>
    </row>
    <row r="22" spans="2:19" ht="24" customHeight="1">
      <c r="B22" s="3">
        <f>IFERROR((#REF!&lt;=#REF!)*(#REF!="")*RealceValor,0)</f>
        <v>0</v>
      </c>
      <c r="F22" s="69" t="s">
        <v>86</v>
      </c>
      <c r="G22" s="77" t="s">
        <v>29</v>
      </c>
      <c r="H22" s="107">
        <v>100</v>
      </c>
      <c r="I22" s="106" t="s">
        <v>10</v>
      </c>
      <c r="J22" s="83"/>
      <c r="K22" s="69" t="s">
        <v>86</v>
      </c>
      <c r="L22" s="73" t="s">
        <v>29</v>
      </c>
      <c r="M22" s="71">
        <v>100</v>
      </c>
      <c r="N22" s="106" t="s">
        <v>10</v>
      </c>
      <c r="O22" s="83"/>
      <c r="P22" s="69">
        <v>28469</v>
      </c>
      <c r="Q22" s="73" t="s">
        <v>29</v>
      </c>
      <c r="R22" s="71">
        <v>100</v>
      </c>
      <c r="S22" s="106" t="s">
        <v>10</v>
      </c>
    </row>
    <row r="23" spans="2:19" ht="24" customHeight="1">
      <c r="B23" s="3">
        <f>IFERROR((#REF!&lt;=#REF!)*(#REF!="")*RealceValor,0)</f>
        <v>0</v>
      </c>
      <c r="F23" s="69">
        <v>42817</v>
      </c>
      <c r="G23" s="77" t="s">
        <v>30</v>
      </c>
      <c r="H23" s="107">
        <v>20</v>
      </c>
      <c r="I23" s="106" t="s">
        <v>10</v>
      </c>
      <c r="J23" s="83"/>
      <c r="K23" s="69">
        <v>42817</v>
      </c>
      <c r="L23" s="73" t="s">
        <v>30</v>
      </c>
      <c r="M23" s="71">
        <v>20</v>
      </c>
      <c r="N23" s="106" t="s">
        <v>10</v>
      </c>
      <c r="O23" s="83"/>
      <c r="P23" s="69">
        <v>42817</v>
      </c>
      <c r="Q23" s="73" t="s">
        <v>30</v>
      </c>
      <c r="R23" s="71">
        <v>20</v>
      </c>
      <c r="S23" s="106" t="s">
        <v>10</v>
      </c>
    </row>
    <row r="24" spans="2:19" ht="24" customHeight="1">
      <c r="B24" s="3">
        <f>IFERROR((#REF!&lt;=#REF!)*(#REF!="")*RealceValor,0)</f>
        <v>0</v>
      </c>
      <c r="F24" s="69">
        <v>17764</v>
      </c>
      <c r="G24" s="77" t="s">
        <v>31</v>
      </c>
      <c r="H24" s="107">
        <v>40</v>
      </c>
      <c r="I24" s="106" t="s">
        <v>10</v>
      </c>
      <c r="J24" s="83"/>
      <c r="K24" s="69">
        <v>17764</v>
      </c>
      <c r="L24" s="73" t="s">
        <v>31</v>
      </c>
      <c r="M24" s="71">
        <v>40</v>
      </c>
      <c r="N24" s="106" t="s">
        <v>10</v>
      </c>
      <c r="O24" s="83"/>
      <c r="P24" s="69">
        <v>17764</v>
      </c>
      <c r="Q24" s="73" t="s">
        <v>31</v>
      </c>
      <c r="R24" s="71">
        <v>40</v>
      </c>
      <c r="S24" s="106" t="s">
        <v>10</v>
      </c>
    </row>
    <row r="25" spans="2:19" ht="24" customHeight="1">
      <c r="B25" s="3">
        <f>IFERROR((#REF!&lt;=#REF!)*(#REF!="")*RealceValor,0)</f>
        <v>0</v>
      </c>
      <c r="F25" s="69">
        <v>43887</v>
      </c>
      <c r="G25" s="77" t="s">
        <v>32</v>
      </c>
      <c r="H25" s="107">
        <v>60</v>
      </c>
      <c r="I25" s="106" t="s">
        <v>10</v>
      </c>
      <c r="J25" s="83"/>
      <c r="K25" s="69">
        <v>43887</v>
      </c>
      <c r="L25" s="73" t="s">
        <v>32</v>
      </c>
      <c r="M25" s="71">
        <v>60</v>
      </c>
      <c r="N25" s="106" t="s">
        <v>10</v>
      </c>
      <c r="O25" s="83"/>
      <c r="P25" s="69">
        <v>43887</v>
      </c>
      <c r="Q25" s="73" t="s">
        <v>32</v>
      </c>
      <c r="R25" s="71">
        <v>70</v>
      </c>
      <c r="S25" s="106" t="s">
        <v>10</v>
      </c>
    </row>
    <row r="26" spans="2:19" ht="24" customHeight="1">
      <c r="B26" s="3">
        <f>IFERROR((#REF!&lt;=#REF!)*(#REF!="")*RealceValor,0)</f>
        <v>0</v>
      </c>
      <c r="F26" s="69">
        <v>21923</v>
      </c>
      <c r="G26" s="77" t="s">
        <v>33</v>
      </c>
      <c r="H26" s="107">
        <v>30</v>
      </c>
      <c r="I26" s="106" t="s">
        <v>10</v>
      </c>
      <c r="J26" s="83"/>
      <c r="K26" s="69">
        <v>21923</v>
      </c>
      <c r="L26" s="73" t="s">
        <v>33</v>
      </c>
      <c r="M26" s="71">
        <v>30</v>
      </c>
      <c r="N26" s="106" t="s">
        <v>10</v>
      </c>
      <c r="O26" s="83"/>
      <c r="P26" s="69">
        <v>21923</v>
      </c>
      <c r="Q26" s="73" t="s">
        <v>33</v>
      </c>
      <c r="R26" s="71">
        <v>40</v>
      </c>
      <c r="S26" s="106" t="s">
        <v>10</v>
      </c>
    </row>
    <row r="27" spans="2:19" ht="24" customHeight="1">
      <c r="B27" s="3">
        <f>IFERROR((#REF!&lt;=#REF!)*(#REF!="")*RealceValor,0)</f>
        <v>0</v>
      </c>
      <c r="F27" s="69">
        <v>15595</v>
      </c>
      <c r="G27" s="77" t="s">
        <v>37</v>
      </c>
      <c r="H27" s="107">
        <v>2</v>
      </c>
      <c r="I27" s="106" t="s">
        <v>10</v>
      </c>
      <c r="J27" s="83"/>
      <c r="K27" s="69">
        <v>15595</v>
      </c>
      <c r="L27" s="73" t="s">
        <v>37</v>
      </c>
      <c r="M27" s="71">
        <v>2</v>
      </c>
      <c r="N27" s="106" t="s">
        <v>10</v>
      </c>
      <c r="O27" s="83"/>
      <c r="P27" s="69">
        <v>15595</v>
      </c>
      <c r="Q27" s="73" t="s">
        <v>37</v>
      </c>
      <c r="R27" s="71">
        <v>2</v>
      </c>
      <c r="S27" s="106" t="s">
        <v>10</v>
      </c>
    </row>
    <row r="28" spans="2:19" ht="24" customHeight="1">
      <c r="B28" s="3">
        <f>IFERROR((#REF!&lt;=#REF!)*(#REF!="")*RealceValor,0)</f>
        <v>0</v>
      </c>
      <c r="F28" s="69">
        <v>26139</v>
      </c>
      <c r="G28" s="77" t="s">
        <v>83</v>
      </c>
      <c r="H28" s="107">
        <v>12</v>
      </c>
      <c r="I28" s="106" t="s">
        <v>10</v>
      </c>
      <c r="J28" s="83"/>
      <c r="K28" s="69">
        <v>27077</v>
      </c>
      <c r="L28" s="73" t="s">
        <v>87</v>
      </c>
      <c r="M28" s="71">
        <v>6</v>
      </c>
      <c r="N28" s="106" t="s">
        <v>10</v>
      </c>
      <c r="O28" s="83"/>
      <c r="P28" s="69">
        <v>27077</v>
      </c>
      <c r="Q28" s="73" t="s">
        <v>87</v>
      </c>
      <c r="R28" s="71">
        <v>6</v>
      </c>
      <c r="S28" s="106" t="s">
        <v>10</v>
      </c>
    </row>
    <row r="29" spans="2:19" ht="24" customHeight="1">
      <c r="B29" s="3">
        <f>IFERROR((#REF!&lt;=#REF!)*(#REF!="")*RealceValor,0)</f>
        <v>0</v>
      </c>
      <c r="F29" s="67">
        <v>81484</v>
      </c>
      <c r="G29" s="77" t="s">
        <v>36</v>
      </c>
      <c r="H29" s="107">
        <v>10</v>
      </c>
      <c r="I29" s="106" t="s">
        <v>10</v>
      </c>
      <c r="J29" s="83"/>
      <c r="K29" s="67">
        <v>81484</v>
      </c>
      <c r="L29" s="73" t="s">
        <v>36</v>
      </c>
      <c r="M29" s="71">
        <v>10</v>
      </c>
      <c r="N29" s="106" t="s">
        <v>10</v>
      </c>
      <c r="O29" s="83"/>
      <c r="P29" s="67">
        <v>81484</v>
      </c>
      <c r="Q29" s="73" t="s">
        <v>36</v>
      </c>
      <c r="R29" s="71">
        <v>10</v>
      </c>
      <c r="S29" s="106" t="s">
        <v>10</v>
      </c>
    </row>
    <row r="30" spans="2:19" ht="24" customHeight="1">
      <c r="B30" s="24">
        <f>IFERROR((#REF!&lt;=#REF!)*(#REF!="")*RealceValor,0)</f>
        <v>0</v>
      </c>
      <c r="F30" s="78">
        <v>32101</v>
      </c>
      <c r="G30" s="77" t="s">
        <v>85</v>
      </c>
      <c r="H30" s="83">
        <v>12</v>
      </c>
      <c r="I30" s="106" t="s">
        <v>10</v>
      </c>
      <c r="J30" s="83"/>
      <c r="K30" s="67">
        <v>50405</v>
      </c>
      <c r="L30" s="73" t="s">
        <v>35</v>
      </c>
      <c r="M30" s="71">
        <v>70</v>
      </c>
      <c r="N30" s="106" t="s">
        <v>10</v>
      </c>
      <c r="O30" s="83"/>
      <c r="P30" s="69">
        <v>28695</v>
      </c>
      <c r="Q30" s="73" t="s">
        <v>88</v>
      </c>
      <c r="R30" s="71">
        <v>15</v>
      </c>
      <c r="S30" s="106" t="s">
        <v>10</v>
      </c>
    </row>
    <row r="31" spans="2:19" ht="24" customHeight="1">
      <c r="B31" s="24">
        <f>IFERROR((#REF!&lt;=#REF!)*(#REF!="")*RealceValor,0)</f>
        <v>0</v>
      </c>
      <c r="F31" s="78">
        <v>50405</v>
      </c>
      <c r="G31" s="77" t="s">
        <v>35</v>
      </c>
      <c r="H31" s="77">
        <v>70</v>
      </c>
      <c r="I31" s="106" t="s">
        <v>10</v>
      </c>
      <c r="J31" s="83"/>
      <c r="K31" s="74">
        <v>57941</v>
      </c>
      <c r="L31" s="88" t="s">
        <v>34</v>
      </c>
      <c r="M31" s="75">
        <v>10</v>
      </c>
      <c r="N31" s="112" t="s">
        <v>10</v>
      </c>
      <c r="O31" s="83"/>
      <c r="P31" s="67">
        <v>50405</v>
      </c>
      <c r="Q31" s="73" t="s">
        <v>35</v>
      </c>
      <c r="R31" s="71">
        <v>70</v>
      </c>
      <c r="S31" s="112" t="s">
        <v>10</v>
      </c>
    </row>
    <row r="32" spans="2:19" ht="24" customHeight="1">
      <c r="B32" s="24">
        <f>IFERROR((#REF!&lt;=#REF!)*(#REF!="")*RealceValor,0)</f>
        <v>0</v>
      </c>
      <c r="F32" s="80">
        <v>27077</v>
      </c>
      <c r="G32" s="77" t="s">
        <v>87</v>
      </c>
      <c r="H32" s="107">
        <v>6</v>
      </c>
      <c r="I32" s="106" t="s">
        <v>10</v>
      </c>
      <c r="J32" s="83"/>
      <c r="K32" s="83"/>
      <c r="L32" s="83"/>
      <c r="M32" s="83"/>
      <c r="N32" s="83"/>
      <c r="O32" s="83"/>
      <c r="P32" s="67">
        <v>57941</v>
      </c>
      <c r="Q32" s="73" t="s">
        <v>34</v>
      </c>
      <c r="R32" s="71">
        <v>10</v>
      </c>
      <c r="S32" s="112" t="s">
        <v>10</v>
      </c>
    </row>
    <row r="33" spans="2:19" ht="24" customHeight="1">
      <c r="B33" s="24">
        <f>IFERROR((#REF!&lt;=#REF!)*(#REF!="")*RealceValor,0)</f>
        <v>0</v>
      </c>
      <c r="F33" s="74">
        <v>57941</v>
      </c>
      <c r="G33" s="96" t="s">
        <v>34</v>
      </c>
      <c r="H33" s="108">
        <v>10</v>
      </c>
      <c r="I33" s="106" t="s">
        <v>10</v>
      </c>
      <c r="J33" s="83"/>
      <c r="K33" s="148" t="s">
        <v>44</v>
      </c>
      <c r="L33" s="149"/>
      <c r="M33" s="154"/>
      <c r="N33" s="72"/>
      <c r="O33" s="83"/>
      <c r="P33" s="67">
        <v>25677</v>
      </c>
      <c r="Q33" s="73" t="s">
        <v>89</v>
      </c>
      <c r="R33" s="71">
        <v>6</v>
      </c>
      <c r="S33" s="112" t="s">
        <v>10</v>
      </c>
    </row>
    <row r="34" spans="2:19" ht="24" customHeight="1">
      <c r="B34" s="24">
        <f>IFERROR((#REF!&lt;=#REF!)*(#REF!="")*RealceValor,0)</f>
        <v>0</v>
      </c>
      <c r="F34" s="83"/>
      <c r="G34" s="83"/>
      <c r="H34" s="83"/>
      <c r="I34" s="106"/>
      <c r="J34" s="83"/>
      <c r="K34" s="85">
        <v>53246</v>
      </c>
      <c r="L34" s="86" t="s">
        <v>55</v>
      </c>
      <c r="M34" s="87">
        <v>15</v>
      </c>
      <c r="N34" s="106" t="s">
        <v>46</v>
      </c>
      <c r="O34" s="83"/>
      <c r="P34" s="67">
        <v>99554</v>
      </c>
      <c r="Q34" s="73" t="s">
        <v>90</v>
      </c>
      <c r="R34" s="71">
        <v>56</v>
      </c>
      <c r="S34" s="112" t="s">
        <v>10</v>
      </c>
    </row>
    <row r="35" spans="2:19" ht="24" customHeight="1">
      <c r="B35" s="24">
        <f>IFERROR((#REF!&lt;=#REF!)*(#REF!="")*RealceValor,0)</f>
        <v>0</v>
      </c>
      <c r="F35" s="150" t="s">
        <v>44</v>
      </c>
      <c r="G35" s="155"/>
      <c r="H35" s="155"/>
      <c r="I35" s="106"/>
      <c r="J35" s="83"/>
      <c r="K35" s="67">
        <v>53261</v>
      </c>
      <c r="L35" s="73" t="s">
        <v>49</v>
      </c>
      <c r="M35" s="71">
        <v>20</v>
      </c>
      <c r="N35" s="106" t="s">
        <v>46</v>
      </c>
      <c r="O35" s="83"/>
      <c r="P35" s="78">
        <v>19110</v>
      </c>
      <c r="Q35" s="89" t="s">
        <v>22</v>
      </c>
      <c r="R35" s="79">
        <v>4</v>
      </c>
      <c r="S35" s="112" t="s">
        <v>10</v>
      </c>
    </row>
    <row r="36" spans="2:19" ht="24" customHeight="1">
      <c r="B36" s="24">
        <f>IFERROR((#REF!&lt;=#REF!)*(#REF!="")*RealceValor,0)</f>
        <v>0</v>
      </c>
      <c r="F36" s="67">
        <v>53246</v>
      </c>
      <c r="G36" s="77" t="s">
        <v>91</v>
      </c>
      <c r="H36" s="107">
        <v>15</v>
      </c>
      <c r="I36" s="106" t="s">
        <v>46</v>
      </c>
      <c r="J36" s="83"/>
      <c r="K36" s="67">
        <v>53278</v>
      </c>
      <c r="L36" s="73" t="s">
        <v>48</v>
      </c>
      <c r="M36" s="71">
        <v>60</v>
      </c>
      <c r="N36" s="106" t="s">
        <v>46</v>
      </c>
      <c r="O36" s="83"/>
      <c r="P36" s="90">
        <v>63868</v>
      </c>
      <c r="Q36" s="91" t="s">
        <v>92</v>
      </c>
      <c r="R36" s="92">
        <v>2</v>
      </c>
      <c r="S36" s="112" t="s">
        <v>10</v>
      </c>
    </row>
    <row r="37" spans="2:19" ht="24" customHeight="1">
      <c r="B37" s="24">
        <f>IFERROR((#REF!&lt;=#REF!)*(#REF!="")*RealceValor,0)</f>
        <v>0</v>
      </c>
      <c r="F37" s="67">
        <v>53261</v>
      </c>
      <c r="G37" s="73" t="s">
        <v>49</v>
      </c>
      <c r="H37" s="107">
        <v>20</v>
      </c>
      <c r="I37" s="106" t="s">
        <v>46</v>
      </c>
      <c r="J37" s="83"/>
      <c r="K37" s="67">
        <v>53273</v>
      </c>
      <c r="L37" s="73" t="s">
        <v>93</v>
      </c>
      <c r="M37" s="71">
        <v>15</v>
      </c>
      <c r="N37" s="106" t="s">
        <v>46</v>
      </c>
      <c r="O37" s="83"/>
      <c r="P37" s="90">
        <v>18461</v>
      </c>
      <c r="Q37" s="91" t="s">
        <v>94</v>
      </c>
      <c r="R37" s="92">
        <v>50</v>
      </c>
      <c r="S37" s="112" t="s">
        <v>10</v>
      </c>
    </row>
    <row r="38" spans="2:19" ht="24" customHeight="1">
      <c r="B38" s="24">
        <f>IFERROR((#REF!&lt;=#REF!)*(#REF!="")*RealceValor,0)</f>
        <v>0</v>
      </c>
      <c r="F38" s="67">
        <v>53278</v>
      </c>
      <c r="G38" s="73" t="s">
        <v>48</v>
      </c>
      <c r="H38" s="107">
        <v>60</v>
      </c>
      <c r="I38" s="106" t="s">
        <v>46</v>
      </c>
      <c r="J38" s="83"/>
      <c r="K38" s="67">
        <v>41241</v>
      </c>
      <c r="L38" s="73" t="s">
        <v>95</v>
      </c>
      <c r="M38" s="71">
        <v>10</v>
      </c>
      <c r="N38" s="106" t="s">
        <v>46</v>
      </c>
      <c r="O38" s="83"/>
      <c r="P38" s="90">
        <v>27682</v>
      </c>
      <c r="Q38" s="91" t="s">
        <v>96</v>
      </c>
      <c r="R38" s="92">
        <v>8</v>
      </c>
      <c r="S38" s="112" t="s">
        <v>10</v>
      </c>
    </row>
    <row r="39" spans="2:19" ht="24" customHeight="1">
      <c r="B39" s="24">
        <f>IFERROR((#REF!&lt;=#REF!)*(#REF!="")*RealceValor,0)</f>
        <v>0</v>
      </c>
      <c r="F39" s="67">
        <v>53273</v>
      </c>
      <c r="G39" s="73" t="s">
        <v>93</v>
      </c>
      <c r="H39" s="107">
        <v>15</v>
      </c>
      <c r="I39" s="106" t="s">
        <v>46</v>
      </c>
      <c r="J39" s="83"/>
      <c r="K39" s="67">
        <v>53258</v>
      </c>
      <c r="L39" s="73" t="s">
        <v>97</v>
      </c>
      <c r="M39" s="71">
        <v>25</v>
      </c>
      <c r="N39" s="106" t="s">
        <v>46</v>
      </c>
      <c r="O39" s="83"/>
      <c r="P39" s="90">
        <v>28385</v>
      </c>
      <c r="Q39" s="91" t="s">
        <v>98</v>
      </c>
      <c r="R39" s="92">
        <v>10</v>
      </c>
      <c r="S39" s="112" t="s">
        <v>10</v>
      </c>
    </row>
    <row r="40" spans="2:19" ht="24" customHeight="1">
      <c r="B40" s="24">
        <f>IFERROR((#REF!&lt;=#REF!)*(#REF!="")*RealceValor,0)</f>
        <v>0</v>
      </c>
      <c r="F40" s="67">
        <v>41241</v>
      </c>
      <c r="G40" s="73" t="s">
        <v>95</v>
      </c>
      <c r="H40" s="107">
        <v>10</v>
      </c>
      <c r="I40" s="106" t="s">
        <v>46</v>
      </c>
      <c r="J40" s="83"/>
      <c r="K40" s="67">
        <v>53297</v>
      </c>
      <c r="L40" s="73" t="s">
        <v>65</v>
      </c>
      <c r="M40" s="71">
        <v>3</v>
      </c>
      <c r="N40" s="106" t="s">
        <v>46</v>
      </c>
      <c r="O40" s="83"/>
      <c r="P40" s="93">
        <v>28268</v>
      </c>
      <c r="Q40" s="94" t="s">
        <v>99</v>
      </c>
      <c r="R40" s="95">
        <v>6</v>
      </c>
      <c r="S40" s="112" t="s">
        <v>10</v>
      </c>
    </row>
    <row r="41" spans="2:19" ht="24" customHeight="1">
      <c r="B41" s="24">
        <f>IFERROR((#REF!&lt;=#REF!)*(#REF!="")*RealceValor,0)</f>
        <v>0</v>
      </c>
      <c r="F41" s="67">
        <v>53258</v>
      </c>
      <c r="G41" s="73" t="s">
        <v>97</v>
      </c>
      <c r="H41" s="107">
        <v>25</v>
      </c>
      <c r="I41" s="106" t="s">
        <v>46</v>
      </c>
      <c r="J41" s="83"/>
      <c r="K41" s="67">
        <v>53279</v>
      </c>
      <c r="L41" s="73" t="s">
        <v>52</v>
      </c>
      <c r="M41" s="71">
        <v>50</v>
      </c>
      <c r="N41" s="106" t="s">
        <v>46</v>
      </c>
      <c r="O41" s="83"/>
      <c r="P41" s="148" t="s">
        <v>44</v>
      </c>
      <c r="Q41" s="149"/>
      <c r="R41" s="154"/>
    </row>
    <row r="42" spans="2:19" ht="24" customHeight="1">
      <c r="B42" s="24">
        <f>IFERROR((#REF!&lt;=#REF!)*(#REF!="")*RealceValor,0)</f>
        <v>0</v>
      </c>
      <c r="F42" s="67">
        <v>53297</v>
      </c>
      <c r="G42" s="73" t="s">
        <v>65</v>
      </c>
      <c r="H42" s="107">
        <v>3</v>
      </c>
      <c r="I42" s="106" t="s">
        <v>46</v>
      </c>
      <c r="J42" s="83"/>
      <c r="K42" s="67">
        <v>53260</v>
      </c>
      <c r="L42" s="73" t="s">
        <v>47</v>
      </c>
      <c r="M42" s="71">
        <v>30</v>
      </c>
      <c r="N42" s="106" t="s">
        <v>46</v>
      </c>
      <c r="O42" s="83"/>
      <c r="P42" s="85">
        <v>53278</v>
      </c>
      <c r="Q42" s="86" t="s">
        <v>48</v>
      </c>
      <c r="R42" s="87">
        <v>60</v>
      </c>
      <c r="S42" s="106" t="s">
        <v>46</v>
      </c>
    </row>
    <row r="43" spans="2:19" ht="24" customHeight="1">
      <c r="B43" s="24">
        <f>IFERROR((#REF!&lt;=#REF!)*(#REF!="")*RealceValor,0)</f>
        <v>0</v>
      </c>
      <c r="F43" s="67">
        <v>53279</v>
      </c>
      <c r="G43" s="73" t="s">
        <v>52</v>
      </c>
      <c r="H43" s="107">
        <v>50</v>
      </c>
      <c r="I43" s="106" t="s">
        <v>46</v>
      </c>
      <c r="J43" s="83"/>
      <c r="K43" s="67">
        <v>53263</v>
      </c>
      <c r="L43" s="73" t="s">
        <v>45</v>
      </c>
      <c r="M43" s="71">
        <v>48</v>
      </c>
      <c r="N43" s="106" t="s">
        <v>46</v>
      </c>
      <c r="O43" s="83"/>
      <c r="P43" s="67">
        <v>53273</v>
      </c>
      <c r="Q43" s="73" t="s">
        <v>93</v>
      </c>
      <c r="R43" s="71">
        <v>12</v>
      </c>
      <c r="S43" s="106" t="s">
        <v>46</v>
      </c>
    </row>
    <row r="44" spans="2:19" ht="24" customHeight="1">
      <c r="B44" s="24">
        <f>IFERROR((#REF!&lt;=#REF!)*(#REF!="")*RealceValor,0)</f>
        <v>0</v>
      </c>
      <c r="F44" s="67">
        <v>53260</v>
      </c>
      <c r="G44" s="73" t="s">
        <v>47</v>
      </c>
      <c r="H44" s="107">
        <v>30</v>
      </c>
      <c r="I44" s="106" t="s">
        <v>46</v>
      </c>
      <c r="J44" s="83"/>
      <c r="K44" s="67">
        <v>53272</v>
      </c>
      <c r="L44" s="73" t="s">
        <v>51</v>
      </c>
      <c r="M44" s="71">
        <v>40</v>
      </c>
      <c r="N44" s="106" t="s">
        <v>46</v>
      </c>
      <c r="O44" s="83"/>
      <c r="P44" s="67">
        <v>41241</v>
      </c>
      <c r="Q44" s="73" t="s">
        <v>95</v>
      </c>
      <c r="R44" s="71">
        <v>6</v>
      </c>
      <c r="S44" s="106" t="s">
        <v>46</v>
      </c>
    </row>
    <row r="45" spans="2:19" ht="24" customHeight="1">
      <c r="B45" s="24">
        <f>IFERROR((#REF!&lt;=#REF!)*(#REF!="")*RealceValor,0)</f>
        <v>0</v>
      </c>
      <c r="F45" s="67">
        <v>53263</v>
      </c>
      <c r="G45" s="73" t="s">
        <v>45</v>
      </c>
      <c r="H45" s="107">
        <v>48</v>
      </c>
      <c r="I45" s="106" t="s">
        <v>46</v>
      </c>
      <c r="J45" s="83"/>
      <c r="K45" s="68">
        <v>53257</v>
      </c>
      <c r="L45" s="73" t="s">
        <v>56</v>
      </c>
      <c r="M45" s="71">
        <v>24</v>
      </c>
      <c r="N45" s="106" t="s">
        <v>46</v>
      </c>
      <c r="O45" s="83"/>
      <c r="P45" s="67">
        <v>53258</v>
      </c>
      <c r="Q45" s="73" t="s">
        <v>97</v>
      </c>
      <c r="R45" s="71">
        <v>12</v>
      </c>
      <c r="S45" s="106" t="s">
        <v>46</v>
      </c>
    </row>
    <row r="46" spans="2:19" ht="24" customHeight="1">
      <c r="B46" s="24">
        <f>IFERROR((#REF!&lt;=#REF!)*(#REF!="")*RealceValor,0)</f>
        <v>0</v>
      </c>
      <c r="F46" s="67">
        <v>53272</v>
      </c>
      <c r="G46" s="73" t="s">
        <v>51</v>
      </c>
      <c r="H46" s="107">
        <v>40</v>
      </c>
      <c r="I46" s="106" t="s">
        <v>46</v>
      </c>
      <c r="J46" s="83"/>
      <c r="K46" s="67">
        <v>31044</v>
      </c>
      <c r="L46" s="73" t="s">
        <v>100</v>
      </c>
      <c r="M46" s="71">
        <v>20</v>
      </c>
      <c r="N46" s="106" t="s">
        <v>46</v>
      </c>
      <c r="O46" s="83"/>
      <c r="P46" s="67">
        <v>53297</v>
      </c>
      <c r="Q46" s="73" t="s">
        <v>65</v>
      </c>
      <c r="R46" s="71">
        <v>3</v>
      </c>
      <c r="S46" s="106" t="s">
        <v>46</v>
      </c>
    </row>
    <row r="47" spans="2:19" ht="24" customHeight="1">
      <c r="B47" s="24">
        <f>IFERROR((#REF!&lt;=#REF!)*(#REF!="")*RealceValor,0)</f>
        <v>0</v>
      </c>
      <c r="F47" s="68">
        <v>53257</v>
      </c>
      <c r="G47" s="73" t="s">
        <v>56</v>
      </c>
      <c r="H47" s="107">
        <v>24</v>
      </c>
      <c r="I47" s="106" t="s">
        <v>46</v>
      </c>
      <c r="J47" s="83"/>
      <c r="K47" s="67">
        <v>53236</v>
      </c>
      <c r="L47" s="73" t="s">
        <v>58</v>
      </c>
      <c r="M47" s="71">
        <v>30</v>
      </c>
      <c r="N47" s="106" t="s">
        <v>46</v>
      </c>
      <c r="O47" s="83"/>
      <c r="P47" s="67">
        <v>53279</v>
      </c>
      <c r="Q47" s="73" t="s">
        <v>52</v>
      </c>
      <c r="R47" s="71">
        <v>96</v>
      </c>
      <c r="S47" s="106" t="s">
        <v>46</v>
      </c>
    </row>
    <row r="48" spans="2:19" ht="24" customHeight="1">
      <c r="B48" s="24">
        <f>IFERROR((#REF!&lt;=#REF!)*(#REF!="")*RealceValor,0)</f>
        <v>0</v>
      </c>
      <c r="F48" s="67">
        <v>31044</v>
      </c>
      <c r="G48" s="73" t="s">
        <v>100</v>
      </c>
      <c r="H48" s="107">
        <v>20</v>
      </c>
      <c r="I48" s="106" t="s">
        <v>46</v>
      </c>
      <c r="J48" s="83"/>
      <c r="K48" s="67">
        <v>53298</v>
      </c>
      <c r="L48" s="73" t="s">
        <v>60</v>
      </c>
      <c r="M48" s="71">
        <v>30</v>
      </c>
      <c r="N48" s="106" t="s">
        <v>46</v>
      </c>
      <c r="O48" s="83"/>
      <c r="P48" s="67">
        <v>53260</v>
      </c>
      <c r="Q48" s="73" t="s">
        <v>47</v>
      </c>
      <c r="R48" s="71">
        <v>42</v>
      </c>
      <c r="S48" s="106" t="s">
        <v>46</v>
      </c>
    </row>
    <row r="49" spans="2:19" ht="24" customHeight="1">
      <c r="B49" s="24">
        <f>IFERROR((#REF!&lt;=#REF!)*(#REF!="")*RealceValor,0)</f>
        <v>0</v>
      </c>
      <c r="F49" s="67">
        <v>53236</v>
      </c>
      <c r="G49" s="73" t="s">
        <v>58</v>
      </c>
      <c r="H49" s="107">
        <v>30</v>
      </c>
      <c r="I49" s="106" t="s">
        <v>46</v>
      </c>
      <c r="J49" s="83"/>
      <c r="K49" s="67">
        <v>53300</v>
      </c>
      <c r="L49" s="73" t="s">
        <v>50</v>
      </c>
      <c r="M49" s="71">
        <v>25</v>
      </c>
      <c r="N49" s="106" t="s">
        <v>46</v>
      </c>
      <c r="O49" s="83"/>
      <c r="P49" s="67">
        <v>53263</v>
      </c>
      <c r="Q49" s="73" t="s">
        <v>45</v>
      </c>
      <c r="R49" s="71">
        <v>24</v>
      </c>
      <c r="S49" s="106" t="s">
        <v>46</v>
      </c>
    </row>
    <row r="50" spans="2:19" ht="35.1" customHeight="1">
      <c r="B50" s="24">
        <f>IFERROR((#REF!&lt;=#REF!)*(#REF!="")*RealceValor,0)</f>
        <v>0</v>
      </c>
      <c r="F50" s="67">
        <v>53298</v>
      </c>
      <c r="G50" s="73" t="s">
        <v>60</v>
      </c>
      <c r="H50" s="107">
        <v>30</v>
      </c>
      <c r="I50" s="106" t="s">
        <v>46</v>
      </c>
      <c r="J50" s="83"/>
      <c r="K50" s="67">
        <v>28383</v>
      </c>
      <c r="L50" s="73" t="s">
        <v>66</v>
      </c>
      <c r="M50" s="71">
        <v>10</v>
      </c>
      <c r="N50" s="106" t="s">
        <v>46</v>
      </c>
      <c r="O50" s="83"/>
      <c r="P50" s="67">
        <v>53272</v>
      </c>
      <c r="Q50" s="73" t="s">
        <v>51</v>
      </c>
      <c r="R50" s="71">
        <v>12</v>
      </c>
      <c r="S50" s="106" t="s">
        <v>46</v>
      </c>
    </row>
    <row r="51" spans="2:19" ht="24" customHeight="1">
      <c r="B51" s="24">
        <f>IFERROR((#REF!&lt;=#REF!)*(#REF!="")*RealceValor,0)</f>
        <v>0</v>
      </c>
      <c r="F51" s="67">
        <v>53300</v>
      </c>
      <c r="G51" s="73" t="s">
        <v>50</v>
      </c>
      <c r="H51" s="107">
        <v>25</v>
      </c>
      <c r="I51" s="106" t="s">
        <v>46</v>
      </c>
      <c r="J51" s="83"/>
      <c r="K51" s="67">
        <v>28785</v>
      </c>
      <c r="L51" s="73" t="s">
        <v>101</v>
      </c>
      <c r="M51" s="71">
        <v>20</v>
      </c>
      <c r="N51" s="106" t="s">
        <v>46</v>
      </c>
      <c r="O51" s="83"/>
      <c r="P51" s="68">
        <v>53257</v>
      </c>
      <c r="Q51" s="73" t="s">
        <v>56</v>
      </c>
      <c r="R51" s="71">
        <v>12</v>
      </c>
      <c r="S51" s="106" t="s">
        <v>46</v>
      </c>
    </row>
    <row r="52" spans="2:19" ht="24" customHeight="1">
      <c r="B52" s="24">
        <f>IFERROR((#REF!&lt;=#REF!)*(#REF!="")*RealceValor,0)</f>
        <v>0</v>
      </c>
      <c r="F52" s="67">
        <v>28383</v>
      </c>
      <c r="G52" s="73" t="s">
        <v>66</v>
      </c>
      <c r="H52" s="107">
        <v>10</v>
      </c>
      <c r="I52" s="106" t="s">
        <v>46</v>
      </c>
      <c r="J52" s="83"/>
      <c r="K52" s="67">
        <v>53289</v>
      </c>
      <c r="L52" s="73" t="s">
        <v>53</v>
      </c>
      <c r="M52" s="71">
        <v>20</v>
      </c>
      <c r="N52" s="106" t="s">
        <v>46</v>
      </c>
      <c r="O52" s="83"/>
      <c r="P52" s="67">
        <v>31044</v>
      </c>
      <c r="Q52" s="73" t="s">
        <v>100</v>
      </c>
      <c r="R52" s="71">
        <v>12</v>
      </c>
      <c r="S52" s="106" t="s">
        <v>46</v>
      </c>
    </row>
    <row r="53" spans="2:19" ht="24" customHeight="1">
      <c r="B53" s="24">
        <f>IFERROR((#REF!&lt;=#REF!)*(#REF!="")*RealceValor,0)</f>
        <v>0</v>
      </c>
      <c r="F53" s="67">
        <v>28785</v>
      </c>
      <c r="G53" s="73" t="s">
        <v>101</v>
      </c>
      <c r="H53" s="107">
        <v>20</v>
      </c>
      <c r="I53" s="106" t="s">
        <v>46</v>
      </c>
      <c r="J53" s="83"/>
      <c r="K53" s="67">
        <v>28525</v>
      </c>
      <c r="L53" s="73" t="s">
        <v>68</v>
      </c>
      <c r="M53" s="71">
        <v>100</v>
      </c>
      <c r="N53" s="106" t="s">
        <v>46</v>
      </c>
      <c r="O53" s="83"/>
      <c r="P53" s="67">
        <v>53236</v>
      </c>
      <c r="Q53" s="73" t="s">
        <v>58</v>
      </c>
      <c r="R53" s="71">
        <v>24</v>
      </c>
      <c r="S53" s="106" t="s">
        <v>46</v>
      </c>
    </row>
    <row r="54" spans="2:19" ht="24" customHeight="1">
      <c r="B54" s="24">
        <f>IFERROR((#REF!&lt;=#REF!)*(#REF!="")*RealceValor,0)</f>
        <v>0</v>
      </c>
      <c r="F54" s="67">
        <v>53289</v>
      </c>
      <c r="G54" s="73" t="s">
        <v>53</v>
      </c>
      <c r="H54" s="107">
        <v>20</v>
      </c>
      <c r="I54" s="106" t="s">
        <v>46</v>
      </c>
      <c r="J54" s="83"/>
      <c r="K54" s="67">
        <v>19436</v>
      </c>
      <c r="L54" s="73" t="s">
        <v>69</v>
      </c>
      <c r="M54" s="71">
        <v>100</v>
      </c>
      <c r="N54" s="106" t="s">
        <v>46</v>
      </c>
      <c r="O54" s="83"/>
      <c r="P54" s="67">
        <v>53298</v>
      </c>
      <c r="Q54" s="73" t="s">
        <v>60</v>
      </c>
      <c r="R54" s="71">
        <v>18</v>
      </c>
      <c r="S54" s="106" t="s">
        <v>46</v>
      </c>
    </row>
    <row r="55" spans="2:19" ht="24" customHeight="1">
      <c r="B55" s="24">
        <f>IFERROR((#REF!&lt;=#REF!)*(#REF!="")*RealceValor,0)</f>
        <v>0</v>
      </c>
      <c r="F55" s="67">
        <v>28525</v>
      </c>
      <c r="G55" s="73" t="s">
        <v>68</v>
      </c>
      <c r="H55" s="107">
        <v>100</v>
      </c>
      <c r="I55" s="106" t="s">
        <v>46</v>
      </c>
      <c r="J55" s="83"/>
      <c r="K55" s="67">
        <v>24145</v>
      </c>
      <c r="L55" s="73" t="s">
        <v>67</v>
      </c>
      <c r="M55" s="71">
        <v>60</v>
      </c>
      <c r="N55" s="106" t="s">
        <v>46</v>
      </c>
      <c r="O55" s="83"/>
      <c r="P55" s="67">
        <v>53300</v>
      </c>
      <c r="Q55" s="73" t="s">
        <v>50</v>
      </c>
      <c r="R55" s="71">
        <v>25</v>
      </c>
      <c r="S55" s="106" t="s">
        <v>46</v>
      </c>
    </row>
    <row r="56" spans="2:19" ht="24" customHeight="1">
      <c r="B56" s="24">
        <f>IFERROR((#REF!&lt;=#REF!)*(#REF!="")*RealceValor,0)</f>
        <v>0</v>
      </c>
      <c r="F56" s="67">
        <v>19436</v>
      </c>
      <c r="G56" s="73" t="s">
        <v>69</v>
      </c>
      <c r="H56" s="107">
        <v>100</v>
      </c>
      <c r="I56" s="106" t="s">
        <v>46</v>
      </c>
      <c r="J56" s="83"/>
      <c r="K56" s="67">
        <v>53232</v>
      </c>
      <c r="L56" s="73" t="s">
        <v>70</v>
      </c>
      <c r="M56" s="71">
        <v>6</v>
      </c>
      <c r="N56" s="106" t="s">
        <v>46</v>
      </c>
      <c r="O56" s="83"/>
      <c r="P56" s="67">
        <v>28383</v>
      </c>
      <c r="Q56" s="73" t="s">
        <v>66</v>
      </c>
      <c r="R56" s="71">
        <v>10</v>
      </c>
      <c r="S56" s="106" t="s">
        <v>46</v>
      </c>
    </row>
    <row r="57" spans="2:19" ht="24" customHeight="1">
      <c r="B57" s="24">
        <f>IFERROR((#REF!&lt;=#REF!)*(#REF!="")*RealceValor,0)</f>
        <v>0</v>
      </c>
      <c r="F57" s="67">
        <v>24145</v>
      </c>
      <c r="G57" s="73" t="s">
        <v>67</v>
      </c>
      <c r="H57" s="107">
        <v>60</v>
      </c>
      <c r="I57" s="106" t="s">
        <v>46</v>
      </c>
      <c r="J57" s="83"/>
      <c r="K57" s="67">
        <v>53233</v>
      </c>
      <c r="L57" s="73" t="s">
        <v>71</v>
      </c>
      <c r="M57" s="71">
        <v>2</v>
      </c>
      <c r="N57" s="106" t="s">
        <v>46</v>
      </c>
      <c r="O57" s="83"/>
      <c r="P57" s="67">
        <v>28785</v>
      </c>
      <c r="Q57" s="73" t="s">
        <v>101</v>
      </c>
      <c r="R57" s="71">
        <v>20</v>
      </c>
      <c r="S57" s="106" t="s">
        <v>46</v>
      </c>
    </row>
    <row r="58" spans="2:19" ht="24" customHeight="1">
      <c r="B58" s="24">
        <f>IFERROR((#REF!&lt;=#REF!)*(#REF!="")*RealceValor,0)</f>
        <v>0</v>
      </c>
      <c r="F58" s="67">
        <v>53232</v>
      </c>
      <c r="G58" s="73" t="s">
        <v>70</v>
      </c>
      <c r="H58" s="107">
        <v>6</v>
      </c>
      <c r="I58" s="106" t="s">
        <v>46</v>
      </c>
      <c r="J58" s="83"/>
      <c r="K58" s="67">
        <v>53294</v>
      </c>
      <c r="L58" s="73" t="s">
        <v>72</v>
      </c>
      <c r="M58" s="71">
        <v>3</v>
      </c>
      <c r="N58" s="106" t="s">
        <v>46</v>
      </c>
      <c r="O58" s="83"/>
      <c r="P58" s="67">
        <v>53289</v>
      </c>
      <c r="Q58" s="73" t="s">
        <v>53</v>
      </c>
      <c r="R58" s="71">
        <v>20</v>
      </c>
      <c r="S58" s="106" t="s">
        <v>46</v>
      </c>
    </row>
    <row r="59" spans="2:19" ht="24" customHeight="1">
      <c r="B59" s="24">
        <f>IFERROR((#REF!&lt;=#REF!)*(#REF!="")*RealceValor,0)</f>
        <v>0</v>
      </c>
      <c r="F59" s="67">
        <v>53233</v>
      </c>
      <c r="G59" s="73" t="s">
        <v>71</v>
      </c>
      <c r="H59" s="107">
        <v>2</v>
      </c>
      <c r="I59" s="106" t="s">
        <v>46</v>
      </c>
      <c r="J59" s="83"/>
      <c r="K59" s="67">
        <v>98762</v>
      </c>
      <c r="L59" s="73" t="s">
        <v>73</v>
      </c>
      <c r="M59" s="71">
        <v>15</v>
      </c>
      <c r="N59" s="106" t="s">
        <v>46</v>
      </c>
      <c r="O59" s="83"/>
      <c r="P59" s="67">
        <v>28525</v>
      </c>
      <c r="Q59" s="73" t="s">
        <v>68</v>
      </c>
      <c r="R59" s="71">
        <v>100</v>
      </c>
      <c r="S59" s="106" t="s">
        <v>46</v>
      </c>
    </row>
    <row r="60" spans="2:19" ht="24" customHeight="1">
      <c r="B60" s="24">
        <f>IFERROR((#REF!&lt;=#REF!)*(#REF!="")*RealceValor,0)</f>
        <v>0</v>
      </c>
      <c r="F60" s="67">
        <v>53294</v>
      </c>
      <c r="G60" s="73" t="s">
        <v>72</v>
      </c>
      <c r="H60" s="107">
        <v>3</v>
      </c>
      <c r="I60" s="106" t="s">
        <v>46</v>
      </c>
      <c r="J60" s="83"/>
      <c r="K60" s="67">
        <v>40667</v>
      </c>
      <c r="L60" s="73" t="s">
        <v>74</v>
      </c>
      <c r="M60" s="71">
        <v>15</v>
      </c>
      <c r="N60" s="106" t="s">
        <v>46</v>
      </c>
      <c r="O60" s="83"/>
      <c r="P60" s="67">
        <v>19436</v>
      </c>
      <c r="Q60" s="73" t="s">
        <v>69</v>
      </c>
      <c r="R60" s="71">
        <v>100</v>
      </c>
      <c r="S60" s="106" t="s">
        <v>46</v>
      </c>
    </row>
    <row r="61" spans="2:19" ht="24" customHeight="1">
      <c r="B61" s="24">
        <f>IFERROR((#REF!&lt;=#REF!)*(#REF!="")*RealceValor,0)</f>
        <v>0</v>
      </c>
      <c r="F61" s="67">
        <v>98762</v>
      </c>
      <c r="G61" s="73" t="s">
        <v>73</v>
      </c>
      <c r="H61" s="107">
        <v>15</v>
      </c>
      <c r="I61" s="106" t="s">
        <v>46</v>
      </c>
      <c r="J61" s="83"/>
      <c r="K61" s="67">
        <v>21898</v>
      </c>
      <c r="L61" s="73" t="s">
        <v>75</v>
      </c>
      <c r="M61" s="71">
        <v>14</v>
      </c>
      <c r="N61" s="106" t="s">
        <v>46</v>
      </c>
      <c r="O61" s="83"/>
      <c r="P61" s="67">
        <v>24145</v>
      </c>
      <c r="Q61" s="73" t="s">
        <v>67</v>
      </c>
      <c r="R61" s="71">
        <v>60</v>
      </c>
      <c r="S61" s="106" t="s">
        <v>46</v>
      </c>
    </row>
    <row r="62" spans="2:19" ht="24" customHeight="1">
      <c r="B62" s="24">
        <f>IFERROR((#REF!&lt;=#REF!)*(#REF!="")*RealceValor,0)</f>
        <v>0</v>
      </c>
      <c r="F62" s="67">
        <v>40667</v>
      </c>
      <c r="G62" s="73" t="s">
        <v>74</v>
      </c>
      <c r="H62" s="107">
        <v>15</v>
      </c>
      <c r="I62" s="106" t="s">
        <v>46</v>
      </c>
      <c r="J62" s="83"/>
      <c r="K62" s="67">
        <v>66569</v>
      </c>
      <c r="L62" s="73" t="s">
        <v>64</v>
      </c>
      <c r="M62" s="71">
        <v>15</v>
      </c>
      <c r="N62" s="106" t="s">
        <v>46</v>
      </c>
      <c r="O62" s="83"/>
      <c r="P62" s="67">
        <v>53232</v>
      </c>
      <c r="Q62" s="73" t="s">
        <v>70</v>
      </c>
      <c r="R62" s="71">
        <v>6</v>
      </c>
      <c r="S62" s="106" t="s">
        <v>46</v>
      </c>
    </row>
    <row r="63" spans="2:19" ht="24" customHeight="1">
      <c r="B63" s="24">
        <f>IFERROR((#REF!&lt;=#REF!)*(#REF!="")*RealceValor,0)</f>
        <v>0</v>
      </c>
      <c r="F63" s="67">
        <v>21898</v>
      </c>
      <c r="G63" s="73" t="s">
        <v>75</v>
      </c>
      <c r="H63" s="107">
        <v>12</v>
      </c>
      <c r="I63" s="106" t="s">
        <v>46</v>
      </c>
      <c r="J63" s="83"/>
      <c r="K63" s="67">
        <v>53256</v>
      </c>
      <c r="L63" s="73" t="s">
        <v>76</v>
      </c>
      <c r="M63" s="71">
        <v>14</v>
      </c>
      <c r="N63" s="106" t="s">
        <v>46</v>
      </c>
      <c r="O63" s="83"/>
      <c r="P63" s="67">
        <v>53233</v>
      </c>
      <c r="Q63" s="73" t="s">
        <v>71</v>
      </c>
      <c r="R63" s="71">
        <v>2</v>
      </c>
      <c r="S63" s="106" t="s">
        <v>46</v>
      </c>
    </row>
    <row r="64" spans="2:19" ht="24" customHeight="1">
      <c r="B64" s="24">
        <f>IFERROR((#REF!&lt;=#REF!)*(#REF!="")*RealceValor,0)</f>
        <v>0</v>
      </c>
      <c r="F64" s="67">
        <v>66569</v>
      </c>
      <c r="G64" s="73" t="s">
        <v>64</v>
      </c>
      <c r="H64" s="107">
        <v>15</v>
      </c>
      <c r="I64" s="106" t="s">
        <v>46</v>
      </c>
      <c r="J64" s="83"/>
      <c r="K64" s="67">
        <v>66427</v>
      </c>
      <c r="L64" s="73" t="s">
        <v>63</v>
      </c>
      <c r="M64" s="71">
        <v>15</v>
      </c>
      <c r="N64" s="106" t="s">
        <v>46</v>
      </c>
      <c r="O64" s="83"/>
      <c r="P64" s="67">
        <v>53294</v>
      </c>
      <c r="Q64" s="73" t="s">
        <v>72</v>
      </c>
      <c r="R64" s="71">
        <v>3</v>
      </c>
      <c r="S64" s="106" t="s">
        <v>46</v>
      </c>
    </row>
    <row r="65" spans="2:19" ht="24" customHeight="1">
      <c r="B65" s="24">
        <f>IFERROR((#REF!&lt;=#REF!)*(#REF!="")*RealceValor,0)</f>
        <v>0</v>
      </c>
      <c r="F65" s="67">
        <v>53256</v>
      </c>
      <c r="G65" s="77" t="s">
        <v>76</v>
      </c>
      <c r="H65" s="107">
        <v>12</v>
      </c>
      <c r="I65" s="106" t="s">
        <v>46</v>
      </c>
      <c r="J65" s="83"/>
      <c r="K65" s="67">
        <v>65799</v>
      </c>
      <c r="L65" s="73" t="s">
        <v>61</v>
      </c>
      <c r="M65" s="71">
        <v>1</v>
      </c>
      <c r="N65" s="106" t="s">
        <v>46</v>
      </c>
      <c r="O65" s="83"/>
      <c r="P65" s="67">
        <v>98762</v>
      </c>
      <c r="Q65" s="73" t="s">
        <v>73</v>
      </c>
      <c r="R65" s="71">
        <v>15</v>
      </c>
      <c r="S65" s="106" t="s">
        <v>46</v>
      </c>
    </row>
    <row r="66" spans="2:19" ht="24" customHeight="1">
      <c r="F66" s="67">
        <v>66427</v>
      </c>
      <c r="G66" s="77" t="s">
        <v>63</v>
      </c>
      <c r="H66" s="107">
        <v>15</v>
      </c>
      <c r="I66" s="106" t="s">
        <v>46</v>
      </c>
      <c r="J66" s="83"/>
      <c r="K66" s="67">
        <v>66570</v>
      </c>
      <c r="L66" s="73" t="s">
        <v>62</v>
      </c>
      <c r="M66" s="71">
        <v>12</v>
      </c>
      <c r="N66" s="106" t="s">
        <v>46</v>
      </c>
      <c r="O66" s="83"/>
      <c r="P66" s="67">
        <v>40667</v>
      </c>
      <c r="Q66" s="73" t="s">
        <v>74</v>
      </c>
      <c r="R66" s="71">
        <v>15</v>
      </c>
      <c r="S66" s="106" t="s">
        <v>46</v>
      </c>
    </row>
    <row r="67" spans="2:19" ht="24" customHeight="1">
      <c r="F67" s="67">
        <v>65799</v>
      </c>
      <c r="G67" s="77" t="s">
        <v>61</v>
      </c>
      <c r="H67" s="107">
        <v>1</v>
      </c>
      <c r="I67" s="106" t="s">
        <v>46</v>
      </c>
      <c r="J67" s="83"/>
      <c r="K67" s="67">
        <v>53259</v>
      </c>
      <c r="L67" s="73" t="s">
        <v>59</v>
      </c>
      <c r="M67" s="71">
        <v>20</v>
      </c>
      <c r="N67" s="106" t="s">
        <v>46</v>
      </c>
      <c r="O67" s="83"/>
      <c r="P67" s="67">
        <v>21898</v>
      </c>
      <c r="Q67" s="73" t="s">
        <v>75</v>
      </c>
      <c r="R67" s="71">
        <v>14</v>
      </c>
      <c r="S67" s="106" t="s">
        <v>46</v>
      </c>
    </row>
    <row r="68" spans="2:19" ht="24" customHeight="1">
      <c r="F68" s="67">
        <v>66570</v>
      </c>
      <c r="G68" s="77" t="s">
        <v>62</v>
      </c>
      <c r="H68" s="107">
        <v>12</v>
      </c>
      <c r="I68" s="106" t="s">
        <v>46</v>
      </c>
      <c r="J68" s="83"/>
      <c r="K68" s="74">
        <v>53262</v>
      </c>
      <c r="L68" s="88" t="s">
        <v>57</v>
      </c>
      <c r="M68" s="75">
        <v>12</v>
      </c>
      <c r="N68" s="106" t="s">
        <v>46</v>
      </c>
      <c r="O68" s="83"/>
      <c r="P68" s="67">
        <v>66569</v>
      </c>
      <c r="Q68" s="73" t="s">
        <v>64</v>
      </c>
      <c r="R68" s="71">
        <v>15</v>
      </c>
      <c r="S68" s="106" t="s">
        <v>46</v>
      </c>
    </row>
    <row r="69" spans="2:19" ht="24" customHeight="1">
      <c r="F69" s="67">
        <v>53259</v>
      </c>
      <c r="G69" s="77" t="s">
        <v>59</v>
      </c>
      <c r="H69" s="107">
        <v>20</v>
      </c>
      <c r="I69" s="106" t="s">
        <v>46</v>
      </c>
      <c r="J69" s="83"/>
      <c r="K69" s="85">
        <v>18695</v>
      </c>
      <c r="L69" s="86" t="s">
        <v>102</v>
      </c>
      <c r="M69" s="87">
        <v>12</v>
      </c>
      <c r="N69" s="106" t="s">
        <v>46</v>
      </c>
      <c r="O69" s="83"/>
      <c r="P69" s="67">
        <v>53256</v>
      </c>
      <c r="Q69" s="73" t="s">
        <v>76</v>
      </c>
      <c r="R69" s="71">
        <v>14</v>
      </c>
      <c r="S69" s="106" t="s">
        <v>46</v>
      </c>
    </row>
    <row r="70" spans="2:19" ht="24" customHeight="1">
      <c r="F70" s="74">
        <v>53262</v>
      </c>
      <c r="G70" s="96" t="s">
        <v>57</v>
      </c>
      <c r="H70" s="108">
        <v>12</v>
      </c>
      <c r="I70" s="106" t="s">
        <v>46</v>
      </c>
      <c r="J70" s="83"/>
      <c r="K70" s="67">
        <v>26294</v>
      </c>
      <c r="L70" s="73" t="s">
        <v>103</v>
      </c>
      <c r="M70" s="71">
        <v>12</v>
      </c>
      <c r="N70" s="106" t="s">
        <v>46</v>
      </c>
      <c r="O70" s="83"/>
      <c r="P70" s="67">
        <v>66427</v>
      </c>
      <c r="Q70" s="73" t="s">
        <v>63</v>
      </c>
      <c r="R70" s="71">
        <v>15</v>
      </c>
      <c r="S70" s="106" t="s">
        <v>46</v>
      </c>
    </row>
    <row r="71" spans="2:19" ht="24" customHeight="1">
      <c r="F71" s="85">
        <v>18695</v>
      </c>
      <c r="G71" s="86" t="s">
        <v>102</v>
      </c>
      <c r="H71" s="109">
        <v>12</v>
      </c>
      <c r="I71" s="106" t="s">
        <v>46</v>
      </c>
      <c r="J71" s="83"/>
      <c r="K71" s="67">
        <v>27449</v>
      </c>
      <c r="L71" s="73" t="s">
        <v>104</v>
      </c>
      <c r="M71" s="71">
        <v>6</v>
      </c>
      <c r="N71" s="106" t="s">
        <v>46</v>
      </c>
      <c r="O71" s="83"/>
      <c r="P71" s="67">
        <v>65799</v>
      </c>
      <c r="Q71" s="73" t="s">
        <v>61</v>
      </c>
      <c r="R71" s="71">
        <v>1</v>
      </c>
      <c r="S71" s="106" t="s">
        <v>46</v>
      </c>
    </row>
    <row r="72" spans="2:19" ht="24" customHeight="1">
      <c r="F72" s="67">
        <v>26294</v>
      </c>
      <c r="G72" s="73" t="s">
        <v>103</v>
      </c>
      <c r="H72" s="110">
        <v>12</v>
      </c>
      <c r="I72" s="106" t="s">
        <v>46</v>
      </c>
      <c r="J72" s="83"/>
      <c r="K72" s="68">
        <v>16772</v>
      </c>
      <c r="L72" s="73" t="s">
        <v>105</v>
      </c>
      <c r="M72" s="71">
        <v>6</v>
      </c>
      <c r="N72" s="106" t="s">
        <v>46</v>
      </c>
      <c r="O72" s="83"/>
      <c r="P72" s="67">
        <v>66570</v>
      </c>
      <c r="Q72" s="73" t="s">
        <v>62</v>
      </c>
      <c r="R72" s="71">
        <v>12</v>
      </c>
      <c r="S72" s="106" t="s">
        <v>46</v>
      </c>
    </row>
    <row r="73" spans="2:19" ht="24" customHeight="1">
      <c r="F73" s="67">
        <v>27449</v>
      </c>
      <c r="G73" s="73" t="s">
        <v>104</v>
      </c>
      <c r="H73" s="110">
        <v>6</v>
      </c>
      <c r="I73" s="106" t="s">
        <v>46</v>
      </c>
      <c r="J73" s="83"/>
      <c r="K73" s="68">
        <v>17594</v>
      </c>
      <c r="L73" s="73" t="s">
        <v>106</v>
      </c>
      <c r="M73" s="71">
        <v>6</v>
      </c>
      <c r="N73" s="106" t="s">
        <v>46</v>
      </c>
      <c r="O73" s="83"/>
      <c r="P73" s="67">
        <v>53259</v>
      </c>
      <c r="Q73" s="73" t="s">
        <v>59</v>
      </c>
      <c r="R73" s="71">
        <v>20</v>
      </c>
      <c r="S73" s="106" t="s">
        <v>46</v>
      </c>
    </row>
    <row r="74" spans="2:19" ht="24" customHeight="1">
      <c r="F74" s="68">
        <v>16772</v>
      </c>
      <c r="G74" s="73" t="s">
        <v>105</v>
      </c>
      <c r="H74" s="110">
        <v>6</v>
      </c>
      <c r="I74" s="106" t="s">
        <v>46</v>
      </c>
      <c r="J74" s="83"/>
      <c r="K74" s="67">
        <v>28877</v>
      </c>
      <c r="L74" s="73" t="s">
        <v>107</v>
      </c>
      <c r="M74" s="71">
        <v>12</v>
      </c>
      <c r="N74" s="106" t="s">
        <v>46</v>
      </c>
      <c r="O74" s="83"/>
      <c r="P74" s="74">
        <v>53262</v>
      </c>
      <c r="Q74" s="88" t="s">
        <v>57</v>
      </c>
      <c r="R74" s="75">
        <v>12</v>
      </c>
      <c r="S74" s="106" t="s">
        <v>46</v>
      </c>
    </row>
    <row r="75" spans="2:19" ht="24" customHeight="1">
      <c r="F75" s="68">
        <v>17594</v>
      </c>
      <c r="G75" s="73" t="s">
        <v>106</v>
      </c>
      <c r="H75" s="110">
        <v>6</v>
      </c>
      <c r="I75" s="106" t="s">
        <v>46</v>
      </c>
      <c r="K75" s="67">
        <v>86383</v>
      </c>
      <c r="L75" s="73" t="s">
        <v>108</v>
      </c>
      <c r="M75" s="71">
        <v>12</v>
      </c>
      <c r="N75" s="106" t="s">
        <v>46</v>
      </c>
      <c r="P75" s="85">
        <v>18695</v>
      </c>
      <c r="Q75" s="86" t="s">
        <v>102</v>
      </c>
      <c r="R75" s="87">
        <v>12</v>
      </c>
      <c r="S75" s="106" t="s">
        <v>46</v>
      </c>
    </row>
    <row r="76" spans="2:19" ht="24" customHeight="1">
      <c r="F76" s="67">
        <v>28877</v>
      </c>
      <c r="G76" s="73" t="s">
        <v>107</v>
      </c>
      <c r="H76" s="110">
        <v>12</v>
      </c>
      <c r="I76" s="106" t="s">
        <v>46</v>
      </c>
      <c r="K76" s="67">
        <v>20009</v>
      </c>
      <c r="L76" s="73" t="s">
        <v>109</v>
      </c>
      <c r="M76" s="71">
        <v>15</v>
      </c>
      <c r="N76" s="106" t="s">
        <v>46</v>
      </c>
      <c r="P76" s="67">
        <v>26294</v>
      </c>
      <c r="Q76" s="73" t="s">
        <v>103</v>
      </c>
      <c r="R76" s="71">
        <v>12</v>
      </c>
      <c r="S76" s="106" t="s">
        <v>46</v>
      </c>
    </row>
    <row r="77" spans="2:19" ht="24" customHeight="1">
      <c r="F77" s="67">
        <v>86383</v>
      </c>
      <c r="G77" s="73" t="s">
        <v>108</v>
      </c>
      <c r="H77" s="110">
        <v>12</v>
      </c>
      <c r="I77" s="106" t="s">
        <v>46</v>
      </c>
      <c r="K77" s="67">
        <v>77008</v>
      </c>
      <c r="L77" s="73" t="s">
        <v>110</v>
      </c>
      <c r="M77" s="71">
        <v>12</v>
      </c>
      <c r="N77" s="106" t="s">
        <v>46</v>
      </c>
      <c r="P77" s="67">
        <v>27449</v>
      </c>
      <c r="Q77" s="73" t="s">
        <v>104</v>
      </c>
      <c r="R77" s="71">
        <v>6</v>
      </c>
      <c r="S77" s="106" t="s">
        <v>46</v>
      </c>
    </row>
    <row r="78" spans="2:19" ht="24" customHeight="1">
      <c r="F78" s="67">
        <v>20009</v>
      </c>
      <c r="G78" s="73" t="s">
        <v>109</v>
      </c>
      <c r="H78" s="110">
        <v>15</v>
      </c>
      <c r="I78" s="106" t="s">
        <v>46</v>
      </c>
      <c r="K78" s="74">
        <v>67079</v>
      </c>
      <c r="L78" s="88" t="s">
        <v>111</v>
      </c>
      <c r="M78" s="75">
        <v>15</v>
      </c>
      <c r="N78" s="112" t="s">
        <v>46</v>
      </c>
      <c r="P78" s="68">
        <v>16772</v>
      </c>
      <c r="Q78" s="73" t="s">
        <v>105</v>
      </c>
      <c r="R78" s="71">
        <v>6</v>
      </c>
      <c r="S78" s="106" t="s">
        <v>46</v>
      </c>
    </row>
    <row r="79" spans="2:19" ht="24" customHeight="1">
      <c r="F79" s="67">
        <v>77008</v>
      </c>
      <c r="G79" s="73" t="s">
        <v>110</v>
      </c>
      <c r="H79" s="110">
        <v>12</v>
      </c>
      <c r="I79" s="106" t="s">
        <v>46</v>
      </c>
      <c r="P79" s="68">
        <v>17594</v>
      </c>
      <c r="Q79" s="73" t="s">
        <v>106</v>
      </c>
      <c r="R79" s="71">
        <v>6</v>
      </c>
      <c r="S79" s="106" t="s">
        <v>46</v>
      </c>
    </row>
    <row r="80" spans="2:19" ht="24" customHeight="1">
      <c r="F80" s="74">
        <v>67079</v>
      </c>
      <c r="G80" s="88" t="s">
        <v>111</v>
      </c>
      <c r="H80" s="111">
        <v>15</v>
      </c>
      <c r="I80" s="106" t="s">
        <v>46</v>
      </c>
      <c r="P80" s="67">
        <v>28877</v>
      </c>
      <c r="Q80" s="73" t="s">
        <v>107</v>
      </c>
      <c r="R80" s="71">
        <v>12</v>
      </c>
      <c r="S80" s="106" t="s">
        <v>46</v>
      </c>
    </row>
    <row r="81" spans="16:19" ht="24" customHeight="1">
      <c r="P81" s="67">
        <v>86383</v>
      </c>
      <c r="Q81" s="73" t="s">
        <v>108</v>
      </c>
      <c r="R81" s="71">
        <v>12</v>
      </c>
      <c r="S81" s="106" t="s">
        <v>46</v>
      </c>
    </row>
    <row r="82" spans="16:19" ht="24" customHeight="1">
      <c r="P82" s="67">
        <v>20009</v>
      </c>
      <c r="Q82" s="73" t="s">
        <v>109</v>
      </c>
      <c r="R82" s="71">
        <v>15</v>
      </c>
      <c r="S82" s="106" t="s">
        <v>46</v>
      </c>
    </row>
    <row r="83" spans="16:19" ht="24" customHeight="1">
      <c r="P83" s="67">
        <v>77008</v>
      </c>
      <c r="Q83" s="73" t="s">
        <v>110</v>
      </c>
      <c r="R83" s="71">
        <v>12</v>
      </c>
      <c r="S83" s="106" t="s">
        <v>46</v>
      </c>
    </row>
    <row r="84" spans="16:19" ht="24" customHeight="1">
      <c r="P84" s="74">
        <v>67079</v>
      </c>
      <c r="Q84" s="88" t="s">
        <v>111</v>
      </c>
      <c r="R84" s="75">
        <v>15</v>
      </c>
      <c r="S84" s="106" t="s">
        <v>46</v>
      </c>
    </row>
    <row r="85" spans="16:19" ht="24" customHeight="1">
      <c r="S85" s="106"/>
    </row>
    <row r="86" spans="16:19" ht="24" customHeight="1">
      <c r="S86" s="112"/>
    </row>
  </sheetData>
  <mergeCells count="5">
    <mergeCell ref="P41:R41"/>
    <mergeCell ref="K33:M33"/>
    <mergeCell ref="F35:H35"/>
    <mergeCell ref="L4:M4"/>
    <mergeCell ref="Q4:R4"/>
  </mergeCells>
  <conditionalFormatting sqref="B5:D65">
    <cfRule type="expression" dxfId="192" priority="34">
      <formula>#REF!="Sim"</formula>
    </cfRule>
    <cfRule type="expression" dxfId="191" priority="35">
      <formula>$B5=1</formula>
    </cfRule>
  </conditionalFormatting>
  <dataValidations count="3"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72BC34C9-7C56-425A-973E-DEC74E6131C1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80652D37-60EF-4C76-BA65-2FE6CC16D673}"/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E248D32E-084B-459F-86E4-42955E3F3273}"/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3" id="{31DA1A2B-CD8D-4055-8566-CFB98C98F08E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B5:D65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BE6-E6EE-4666-AE9F-493F808BD39B}">
  <dimension ref="B1:N29"/>
  <sheetViews>
    <sheetView topLeftCell="A2" zoomScale="70" zoomScaleNormal="70" workbookViewId="0">
      <selection activeCell="R11" sqref="R11"/>
    </sheetView>
  </sheetViews>
  <sheetFormatPr defaultColWidth="8.77734375" defaultRowHeight="24" customHeight="1"/>
  <cols>
    <col min="1" max="1" width="1.77734375" style="14" customWidth="1"/>
    <col min="2" max="4" width="12.5546875" style="44" hidden="1" customWidth="1"/>
    <col min="5" max="5" width="11.6640625" style="51" customWidth="1"/>
    <col min="6" max="6" width="54.88671875" style="51" bestFit="1" customWidth="1"/>
    <col min="7" max="7" width="14.77734375" style="52" bestFit="1" customWidth="1"/>
    <col min="8" max="8" width="13.44140625" style="52" bestFit="1" customWidth="1"/>
    <col min="9" max="9" width="14.77734375" style="52" hidden="1" customWidth="1"/>
    <col min="10" max="10" width="0.109375" style="52" customWidth="1"/>
    <col min="11" max="11" width="0.44140625" style="51" customWidth="1"/>
    <col min="12" max="12" width="1.77734375" style="14" customWidth="1"/>
    <col min="13" max="16384" width="8.77734375" style="14"/>
  </cols>
  <sheetData>
    <row r="1" spans="2:14" s="43" customFormat="1" ht="116.25" customHeight="1">
      <c r="B1" s="45"/>
      <c r="C1" s="45"/>
      <c r="D1" s="45"/>
      <c r="E1" s="134"/>
      <c r="F1" s="134"/>
      <c r="G1" s="46"/>
      <c r="H1" s="133" t="s">
        <v>112</v>
      </c>
      <c r="I1" s="46"/>
    </row>
    <row r="2" spans="2:14" s="43" customFormat="1" ht="99.6" customHeight="1">
      <c r="B2" s="45"/>
      <c r="C2" s="45"/>
      <c r="D2" s="45"/>
      <c r="E2" s="146" t="s">
        <v>113</v>
      </c>
      <c r="F2" s="146"/>
      <c r="G2" s="146"/>
      <c r="H2" s="146"/>
      <c r="I2" s="146"/>
      <c r="J2" s="146"/>
      <c r="K2" s="146"/>
      <c r="L2" s="146"/>
      <c r="M2" s="146"/>
      <c r="N2" s="146"/>
    </row>
    <row r="3" spans="2:14" ht="23.25" customHeight="1">
      <c r="E3" s="132"/>
      <c r="F3" s="132"/>
      <c r="G3" s="47"/>
      <c r="H3" s="47"/>
      <c r="I3" s="47"/>
      <c r="J3" s="48"/>
      <c r="K3" s="49"/>
    </row>
    <row r="4" spans="2:14" s="44" customFormat="1" ht="50.1" customHeight="1">
      <c r="B4" s="50" t="s">
        <v>3</v>
      </c>
      <c r="C4" s="50" t="s">
        <v>4</v>
      </c>
      <c r="D4" s="50" t="s">
        <v>5</v>
      </c>
      <c r="E4" s="15" t="s">
        <v>6</v>
      </c>
      <c r="F4" s="16" t="s">
        <v>114</v>
      </c>
      <c r="G4" s="17" t="s">
        <v>115</v>
      </c>
      <c r="H4" s="122" t="s">
        <v>116</v>
      </c>
      <c r="I4" s="50" t="s">
        <v>117</v>
      </c>
      <c r="J4" s="50" t="s">
        <v>118</v>
      </c>
      <c r="K4" s="50" t="s">
        <v>119</v>
      </c>
    </row>
    <row r="5" spans="2:14" ht="24" customHeight="1">
      <c r="B5" s="44">
        <f>IFERROR((Inventory_List_Table311[[#This Row],[Quantidade]]&lt;=Inventory_List_Table311[[#This Row],[Dimensão ]])*(Inventory_List_Table311[[#This Row],[Tem Estoque?]]="")*RealceValor,0)</f>
        <v>0</v>
      </c>
      <c r="E5" s="22">
        <v>65799</v>
      </c>
      <c r="F5" s="22" t="s">
        <v>120</v>
      </c>
      <c r="G5" s="23">
        <v>35</v>
      </c>
      <c r="H5" s="21" t="s">
        <v>121</v>
      </c>
      <c r="I5" s="53"/>
      <c r="J5" s="52">
        <v>50</v>
      </c>
    </row>
    <row r="6" spans="2:14" ht="24" customHeight="1">
      <c r="B6" s="44">
        <f>IFERROR((Inventory_List_Table311[[#This Row],[Quantidade]]&lt;=Inventory_List_Table311[[#This Row],[Dimensão ]])*(Inventory_List_Table311[[#This Row],[Tem Estoque?]]="")*RealceValor,0)</f>
        <v>0</v>
      </c>
      <c r="E6" s="19">
        <v>66569</v>
      </c>
      <c r="F6" s="19" t="s">
        <v>122</v>
      </c>
      <c r="G6" s="21">
        <v>2</v>
      </c>
      <c r="H6" s="23" t="s">
        <v>121</v>
      </c>
      <c r="J6" s="52">
        <v>50</v>
      </c>
    </row>
    <row r="7" spans="2:14" ht="24" customHeight="1">
      <c r="B7" s="44">
        <f>IFERROR((Inventory_List_Table311[[#This Row],[Quantidade]]&lt;=Inventory_List_Table311[[#This Row],[Dimensão ]])*(Inventory_List_Table311[[#This Row],[Tem Estoque?]]="")*RealceValor,0)</f>
        <v>0</v>
      </c>
      <c r="E7" s="22">
        <v>66571</v>
      </c>
      <c r="F7" s="22" t="s">
        <v>123</v>
      </c>
      <c r="G7" s="23">
        <v>8</v>
      </c>
      <c r="H7" s="21" t="s">
        <v>121</v>
      </c>
      <c r="J7" s="52">
        <v>150</v>
      </c>
    </row>
    <row r="8" spans="2:14" ht="24" customHeight="1">
      <c r="B8" s="44">
        <f>IFERROR((Inventory_List_Table311[[#This Row],[Quantidade]]&lt;=Inventory_List_Table311[[#This Row],[Dimensão ]])*(Inventory_List_Table311[[#This Row],[Tem Estoque?]]="")*RealceValor,0)</f>
        <v>0</v>
      </c>
      <c r="E8" s="19">
        <v>53278</v>
      </c>
      <c r="F8" s="19" t="s">
        <v>124</v>
      </c>
      <c r="G8" s="21">
        <v>10</v>
      </c>
      <c r="H8" s="23" t="s">
        <v>121</v>
      </c>
      <c r="J8" s="52">
        <v>50</v>
      </c>
    </row>
    <row r="9" spans="2:14" ht="24" customHeight="1">
      <c r="B9" s="44">
        <f>IFERROR((Inventory_List_Table311[[#This Row],[Quantidade]]&lt;=Inventory_List_Table311[[#This Row],[Dimensão ]])*(Inventory_List_Table311[[#This Row],[Tem Estoque?]]="")*RealceValor,0)</f>
        <v>0</v>
      </c>
      <c r="E9" s="22">
        <v>28244</v>
      </c>
      <c r="F9" s="22" t="s">
        <v>125</v>
      </c>
      <c r="G9" s="23">
        <v>40</v>
      </c>
      <c r="H9" s="23" t="s">
        <v>121</v>
      </c>
      <c r="J9" s="52">
        <v>50</v>
      </c>
    </row>
    <row r="10" spans="2:14" ht="24" customHeight="1">
      <c r="B10" s="44">
        <f>IFERROR((Inventory_List_Table311[[#This Row],[Quantidade]]&lt;=Inventory_List_Table311[[#This Row],[Dimensão ]])*(Inventory_List_Table311[[#This Row],[Tem Estoque?]]="")*RealceValor,0)</f>
        <v>0</v>
      </c>
      <c r="E10" s="19">
        <v>19054</v>
      </c>
      <c r="F10" s="19" t="s">
        <v>126</v>
      </c>
      <c r="G10" s="21">
        <v>36</v>
      </c>
      <c r="H10" s="23" t="s">
        <v>121</v>
      </c>
      <c r="J10" s="52">
        <v>150</v>
      </c>
    </row>
    <row r="11" spans="2:14" ht="24" customHeight="1">
      <c r="B11" s="44">
        <f>IFERROR((Inventory_List_Table311[[#This Row],[Quantidade]]&lt;=Inventory_List_Table311[[#This Row],[Dimensão ]])*(Inventory_List_Table311[[#This Row],[Tem Estoque?]]="")*RealceValor,0)</f>
        <v>0</v>
      </c>
      <c r="E11" s="22">
        <v>19231</v>
      </c>
      <c r="F11" s="22" t="s">
        <v>127</v>
      </c>
      <c r="G11" s="23">
        <v>6</v>
      </c>
      <c r="H11" s="21" t="s">
        <v>121</v>
      </c>
      <c r="J11" s="52">
        <v>100</v>
      </c>
    </row>
    <row r="12" spans="2:14" ht="24" customHeight="1">
      <c r="B12" s="44">
        <f>IFERROR((Inventory_List_Table311[[#This Row],[Quantidade]]&lt;=Inventory_List_Table311[[#This Row],[Dimensão ]])*(Inventory_List_Table311[[#This Row],[Tem Estoque?]]="")*RealceValor,0)</f>
        <v>0</v>
      </c>
      <c r="E12" s="19">
        <v>53261</v>
      </c>
      <c r="F12" s="19" t="s">
        <v>128</v>
      </c>
      <c r="G12" s="21">
        <v>4</v>
      </c>
      <c r="H12" s="23" t="s">
        <v>121</v>
      </c>
      <c r="J12" s="52">
        <v>100</v>
      </c>
    </row>
    <row r="13" spans="2:14" ht="24" customHeight="1">
      <c r="B13" s="44">
        <f>IFERROR((Inventory_List_Table311[[#This Row],[Quantidade]]&lt;=Inventory_List_Table311[[#This Row],[Dimensão ]])*(Inventory_List_Table311[[#This Row],[Tem Estoque?]]="")*RealceValor,0)</f>
        <v>0</v>
      </c>
      <c r="E13" s="22">
        <v>53258</v>
      </c>
      <c r="F13" s="22" t="s">
        <v>129</v>
      </c>
      <c r="G13" s="23">
        <v>2</v>
      </c>
      <c r="H13" s="21" t="s">
        <v>121</v>
      </c>
      <c r="J13" s="52">
        <v>150</v>
      </c>
    </row>
    <row r="14" spans="2:14" ht="24" customHeight="1">
      <c r="B14" s="44">
        <f>IFERROR((Inventory_List_Table311[[#This Row],[Quantidade]]&lt;=Inventory_List_Table311[[#This Row],[Dimensão ]])*(Inventory_List_Table311[[#This Row],[Tem Estoque?]]="")*RealceValor,0)</f>
        <v>0</v>
      </c>
      <c r="E14" s="19">
        <v>16002</v>
      </c>
      <c r="F14" s="19" t="s">
        <v>130</v>
      </c>
      <c r="G14" s="21">
        <v>96</v>
      </c>
      <c r="H14" s="61" t="s">
        <v>121</v>
      </c>
      <c r="J14" s="52">
        <v>150</v>
      </c>
    </row>
    <row r="15" spans="2:14" ht="24" customHeight="1">
      <c r="B15" s="44">
        <f>IFERROR((Inventory_List_Table311[[#This Row],[Quantidade]]&lt;=Inventory_List_Table311[[#This Row],[Dimensão ]])*(Inventory_List_Table311[[#This Row],[Tem Estoque?]]="")*RealceValor,0)</f>
        <v>0</v>
      </c>
      <c r="E15" s="22">
        <v>28543</v>
      </c>
      <c r="F15" s="22" t="s">
        <v>131</v>
      </c>
      <c r="G15" s="23">
        <v>100</v>
      </c>
      <c r="H15" s="21" t="s">
        <v>121</v>
      </c>
      <c r="J15" s="52">
        <v>100</v>
      </c>
    </row>
    <row r="16" spans="2:14" ht="24" customHeight="1">
      <c r="B16" s="44">
        <f>IFERROR((Inventory_List_Table311[[#This Row],[Quantidade]]&lt;=Inventory_List_Table311[[#This Row],[Dimensão ]])*(Inventory_List_Table311[[#This Row],[Tem Estoque?]]="")*RealceValor,0)</f>
        <v>0</v>
      </c>
      <c r="E16" s="19">
        <v>54132</v>
      </c>
      <c r="F16" s="19" t="s">
        <v>38</v>
      </c>
      <c r="G16" s="21">
        <v>1</v>
      </c>
      <c r="H16" s="23" t="s">
        <v>121</v>
      </c>
      <c r="J16" s="52">
        <v>50</v>
      </c>
    </row>
    <row r="17" spans="2:10" ht="24" customHeight="1">
      <c r="B17" s="44">
        <f>IFERROR((Inventory_List_Table311[[#This Row],[Quantidade]]&lt;=Inventory_List_Table311[[#This Row],[Dimensão ]])*(Inventory_List_Table311[[#This Row],[Tem Estoque?]]="")*RealceValor,0)</f>
        <v>0</v>
      </c>
      <c r="E17" s="22">
        <v>53266</v>
      </c>
      <c r="F17" s="22" t="s">
        <v>132</v>
      </c>
      <c r="G17" s="23">
        <v>4</v>
      </c>
      <c r="H17" s="21" t="s">
        <v>121</v>
      </c>
      <c r="J17" s="52">
        <v>100</v>
      </c>
    </row>
    <row r="18" spans="2:10" ht="24" customHeight="1">
      <c r="B18" s="44">
        <f>IFERROR((Inventory_List_Table311[[#This Row],[Quantidade]]&lt;=Inventory_List_Table311[[#This Row],[Dimensão ]])*(Inventory_List_Table311[[#This Row],[Tem Estoque?]]="")*RealceValor,0)</f>
        <v>0</v>
      </c>
      <c r="E18" s="19">
        <v>28206</v>
      </c>
      <c r="F18" s="19" t="s">
        <v>133</v>
      </c>
      <c r="G18" s="21">
        <v>24</v>
      </c>
      <c r="H18" s="23" t="s">
        <v>121</v>
      </c>
      <c r="J18" s="52">
        <v>100</v>
      </c>
    </row>
    <row r="19" spans="2:10" ht="24" customHeight="1">
      <c r="B19" s="44">
        <f>IFERROR((Inventory_List_Table311[[#This Row],[Quantidade]]&lt;=Inventory_List_Table311[[#This Row],[Dimensão ]])*(Inventory_List_Table311[[#This Row],[Tem Estoque?]]="")*RealceValor,0)</f>
        <v>0</v>
      </c>
      <c r="E19" s="22">
        <v>25209</v>
      </c>
      <c r="F19" s="22" t="s">
        <v>134</v>
      </c>
      <c r="G19" s="23">
        <v>20</v>
      </c>
      <c r="H19" s="21" t="s">
        <v>121</v>
      </c>
      <c r="J19" s="52">
        <v>50</v>
      </c>
    </row>
    <row r="20" spans="2:10" ht="24" customHeight="1">
      <c r="B20" s="44">
        <f>IFERROR((Inventory_List_Table311[[#This Row],[Quantidade]]&lt;=Inventory_List_Table311[[#This Row],[Dimensão ]])*(Inventory_List_Table311[[#This Row],[Tem Estoque?]]="")*RealceValor,0)</f>
        <v>0</v>
      </c>
      <c r="E20" s="19">
        <v>27847</v>
      </c>
      <c r="F20" s="19" t="s">
        <v>135</v>
      </c>
      <c r="G20" s="21">
        <v>20</v>
      </c>
      <c r="H20" s="23" t="s">
        <v>121</v>
      </c>
      <c r="J20" s="52">
        <v>50</v>
      </c>
    </row>
    <row r="21" spans="2:10" ht="24" customHeight="1">
      <c r="B21" s="44">
        <f>IFERROR((Inventory_List_Table311[[#This Row],[Quantidade]]&lt;=Inventory_List_Table311[[#This Row],[Dimensão ]])*(Inventory_List_Table311[[#This Row],[Tem Estoque?]]="")*RealceValor,0)</f>
        <v>0</v>
      </c>
      <c r="E21" s="22">
        <v>18838</v>
      </c>
      <c r="F21" s="22" t="s">
        <v>136</v>
      </c>
      <c r="G21" s="23">
        <v>14</v>
      </c>
      <c r="H21" s="21" t="s">
        <v>121</v>
      </c>
      <c r="J21" s="52">
        <v>50</v>
      </c>
    </row>
    <row r="22" spans="2:10" ht="24" customHeight="1">
      <c r="B22" s="44">
        <f>IFERROR((Inventory_List_Table311[[#This Row],[Quantidade]]&lt;=Inventory_List_Table311[[#This Row],[Dimensão ]])*(Inventory_List_Table311[[#This Row],[Tem Estoque?]]="")*RealceValor,0)</f>
        <v>0</v>
      </c>
      <c r="E22" s="19">
        <v>53280</v>
      </c>
      <c r="F22" s="19" t="s">
        <v>137</v>
      </c>
      <c r="G22" s="21">
        <v>16</v>
      </c>
      <c r="H22" s="21" t="s">
        <v>121</v>
      </c>
      <c r="J22" s="52">
        <v>50</v>
      </c>
    </row>
    <row r="23" spans="2:10" ht="24" customHeight="1">
      <c r="B23" s="44">
        <f>IFERROR((Inventory_List_Table311[[#This Row],[Quantidade]]&lt;=Inventory_List_Table311[[#This Row],[Dimensão ]])*(Inventory_List_Table311[[#This Row],[Tem Estoque?]]="")*RealceValor,0)</f>
        <v>0</v>
      </c>
      <c r="E23" s="29"/>
      <c r="F23" s="31"/>
      <c r="G23" s="33"/>
      <c r="H23" s="21"/>
      <c r="J23" s="52">
        <v>150</v>
      </c>
    </row>
    <row r="24" spans="2:10" ht="24" customHeight="1">
      <c r="B24" s="44">
        <f>IFERROR((Inventory_List_Table311[[#This Row],[Quantidade]]&lt;=Inventory_List_Table311[[#This Row],[Dimensão ]])*(Inventory_List_Table311[[#This Row],[Tem Estoque?]]="")*RealceValor,0)</f>
        <v>0</v>
      </c>
      <c r="E24" s="131"/>
      <c r="F24" s="130"/>
      <c r="G24" s="129"/>
      <c r="H24" s="21"/>
      <c r="J24" s="52">
        <v>50</v>
      </c>
    </row>
    <row r="25" spans="2:10" ht="24" customHeight="1">
      <c r="B25" s="44">
        <f>IFERROR((Inventory_List_Table311[[#This Row],[Quantidade]]&lt;=Inventory_List_Table311[[#This Row],[Dimensão ]])*(Inventory_List_Table311[[#This Row],[Tem Estoque?]]="")*RealceValor,0)</f>
        <v>0</v>
      </c>
      <c r="E25" s="29"/>
      <c r="F25" s="31"/>
      <c r="G25" s="33"/>
      <c r="H25" s="21"/>
      <c r="J25" s="52">
        <v>50</v>
      </c>
    </row>
    <row r="26" spans="2:10" ht="24" customHeight="1">
      <c r="B26" s="44">
        <f>IFERROR((Inventory_List_Table311[[#This Row],[Quantidade]]&lt;=Inventory_List_Table311[[#This Row],[Dimensão ]])*(Inventory_List_Table311[[#This Row],[Tem Estoque?]]="")*RealceValor,0)</f>
        <v>0</v>
      </c>
      <c r="E26" s="22"/>
      <c r="F26" s="22"/>
      <c r="G26" s="23"/>
      <c r="H26" s="128"/>
      <c r="J26" s="52">
        <v>150</v>
      </c>
    </row>
    <row r="27" spans="2:10" ht="24" customHeight="1">
      <c r="B27" s="44">
        <f>IFERROR((Inventory_List_Table311[[#This Row],[Quantidade]]&lt;=Inventory_List_Table311[[#This Row],[Dimensão ]])*(Inventory_List_Table311[[#This Row],[Tem Estoque?]]="")*RealceValor,0)</f>
        <v>0</v>
      </c>
      <c r="E27" s="19"/>
      <c r="F27" s="19"/>
      <c r="G27" s="21"/>
      <c r="H27" s="8"/>
      <c r="J27" s="52">
        <v>150</v>
      </c>
    </row>
    <row r="28" spans="2:10" ht="24" customHeight="1">
      <c r="B28" s="44">
        <f>IFERROR((Inventory_List_Table311[[#This Row],[Quantidade]]&lt;=Inventory_List_Table311[[#This Row],[Dimensão ]])*(Inventory_List_Table311[[#This Row],[Tem Estoque?]]="")*RealceValor,0)</f>
        <v>0</v>
      </c>
      <c r="E28" s="22"/>
      <c r="F28" s="22"/>
      <c r="G28" s="23"/>
      <c r="H28" s="128"/>
      <c r="J28" s="52">
        <v>100</v>
      </c>
    </row>
    <row r="29" spans="2:10" ht="24" customHeight="1">
      <c r="B29" s="44">
        <f>IFERROR((Inventory_List_Table311[[#This Row],[Quantidade]]&lt;=Inventory_List_Table311[[#This Row],[Dimensão ]])*(Inventory_List_Table311[[#This Row],[Tem Estoque?]]="")*RealceValor,0)</f>
        <v>0</v>
      </c>
      <c r="J29" s="52">
        <v>50</v>
      </c>
    </row>
  </sheetData>
  <mergeCells count="1">
    <mergeCell ref="E2:N2"/>
  </mergeCells>
  <conditionalFormatting sqref="B5:D28 I5:K28 B29:K29">
    <cfRule type="expression" dxfId="182" priority="9">
      <formula>$K5="Sim"</formula>
    </cfRule>
    <cfRule type="expression" dxfId="181" priority="10">
      <formula>$B5=1</formula>
    </cfRule>
  </conditionalFormatting>
  <conditionalFormatting sqref="E5:G22">
    <cfRule type="expression" dxfId="180" priority="1">
      <formula>$K5="Sim"</formula>
    </cfRule>
  </conditionalFormatting>
  <conditionalFormatting sqref="E5:G25">
    <cfRule type="expression" dxfId="179" priority="2">
      <formula>$B5=1</formula>
    </cfRule>
  </conditionalFormatting>
  <conditionalFormatting sqref="E23:G25">
    <cfRule type="expression" dxfId="178" priority="3">
      <formula>$G23="Sim"</formula>
    </cfRule>
  </conditionalFormatting>
  <conditionalFormatting sqref="E26:H28">
    <cfRule type="expression" dxfId="177" priority="6">
      <formula>$K26="Sim"</formula>
    </cfRule>
    <cfRule type="expression" dxfId="176" priority="7">
      <formula>$B26=1</formula>
    </cfRule>
  </conditionalFormatting>
  <conditionalFormatting sqref="H5:H25">
    <cfRule type="expression" dxfId="175" priority="4">
      <formula>$G5="Sim"</formula>
    </cfRule>
    <cfRule type="expression" dxfId="174" priority="5">
      <formula>$B5=1</formula>
    </cfRule>
  </conditionalFormatting>
  <dataValidations count="12">
    <dataValidation type="list" allowBlank="1" showInputMessage="1" showErrorMessage="1" sqref="K5" xr:uid="{CDA90F98-53FE-4D2E-8D38-7C3FE69CF103}">
      <formula1>"Não"</formula1>
    </dataValidation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576605D4-DDDE-480C-8F41-88799A89628D}"/>
    <dataValidation type="list" allowBlank="1" showInputMessage="1" showErrorMessage="1" prompt="Selecione Sim para habilitar o realce de itens para ordenar. Isso aplica uma sinalização na coluna B e realça a linha correspondente na tabela Lista de estoque. Selecionar Não apagará os destaques e a sinalização." sqref="K3" xr:uid="{CFEF3882-51E7-46F5-9B9F-3A8DE33A7223}">
      <formula1>"Sim, Não"</formula1>
    </dataValidation>
    <dataValidation type="list" allowBlank="1" showInputMessage="1" showErrorMessage="1" sqref="K6:K29" xr:uid="{F8D44331-884B-4032-8EEF-3131E370B53D}">
      <formula1>"Sim"</formula1>
    </dataValidation>
    <dataValidation allowBlank="1" showInputMessage="1" showErrorMessage="1" prompt="Insira uma descrição do item nesta coluna" sqref="F4" xr:uid="{3A639DEE-F8EC-4A94-9545-67C8B48663D6}"/>
    <dataValidation allowBlank="1" showInputMessage="1" showErrorMessage="1" prompt="Insira a quantidade em estoque de cada item nesta coluna" sqref="G4:H4" xr:uid="{E4543B80-4A6F-4B2B-A15F-1CE61D812FD7}"/>
    <dataValidation allowBlank="1" showInputMessage="1" showErrorMessage="1" prompt="Insira quantos dias faltam para realizar nova encomenda de cada item nesta coluna" sqref="I4" xr:uid="{BE3B52F1-90A3-47A2-AA95-F15CE7CD8DFC}"/>
    <dataValidation allowBlank="1" showInputMessage="1" showErrorMessage="1" prompt="Insira a quantidade a encomendar de cada item nesta coluna" sqref="J4" xr:uid="{8CBBE292-6874-4ABA-80F5-144E32791F25}"/>
    <dataValidation allowBlank="1" showInputMessage="1" showErrorMessage="1" prompt="Insira sim se o item tiver sido descontinuado. Ao inserir Sim, a linha correspondente é realçada em cinza claro e o estilo da fonte é alterado para Tachado" sqref="K4" xr:uid="{260CD048-9E9B-4D3B-9BD5-800FC33BD9FF}"/>
    <dataValidation allowBlank="1" showInputMessage="1" showErrorMessage="1" prompt="Insira a ID de estoque do item nesta coluna" sqref="E4" xr:uid="{6A616A2C-E4F2-45C2-A76F-8F3A79E63992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FBFE750F-D740-4DDB-8FA1-10D040D505C6}"/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9E627CAD-1E96-4197-BC4E-C0FF51676BEF}"/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6E23612D-C5E2-42C4-A2FA-117DEC4BE151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B5:D29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C5CC-C4AA-462F-B84A-8BC4E4E0D0B9}">
  <dimension ref="B1:V30"/>
  <sheetViews>
    <sheetView topLeftCell="R3" zoomScale="55" zoomScaleNormal="55" workbookViewId="0">
      <selection activeCell="T17" sqref="T17"/>
    </sheetView>
  </sheetViews>
  <sheetFormatPr defaultColWidth="8.77734375" defaultRowHeight="24" customHeight="1"/>
  <cols>
    <col min="1" max="1" width="1.77734375" style="14" customWidth="1"/>
    <col min="2" max="4" width="12.5546875" style="44" hidden="1" customWidth="1"/>
    <col min="5" max="5" width="14.77734375" style="52" hidden="1" customWidth="1"/>
    <col min="6" max="6" width="0.109375" style="52" customWidth="1"/>
    <col min="7" max="7" width="0.33203125" style="51" customWidth="1"/>
    <col min="8" max="8" width="1.77734375" style="14" customWidth="1"/>
    <col min="9" max="9" width="8.77734375" style="14"/>
    <col min="10" max="10" width="72.6640625" style="14" customWidth="1"/>
    <col min="11" max="11" width="11.77734375" style="14" customWidth="1"/>
    <col min="12" max="14" width="8.77734375" style="14"/>
    <col min="15" max="15" width="54.88671875" style="14" bestFit="1" customWidth="1"/>
    <col min="16" max="16" width="11.44140625" style="14" customWidth="1"/>
    <col min="17" max="19" width="8.77734375" style="14"/>
    <col min="20" max="20" width="57.5546875" style="14" customWidth="1"/>
    <col min="21" max="21" width="10.33203125" style="14" customWidth="1"/>
    <col min="22" max="16384" width="8.77734375" style="14"/>
  </cols>
  <sheetData>
    <row r="1" spans="2:22" s="43" customFormat="1" ht="116.25" customHeight="1">
      <c r="B1" s="45"/>
      <c r="C1" s="45"/>
      <c r="D1" s="45"/>
      <c r="E1" s="46"/>
      <c r="H1" s="43" t="s">
        <v>138</v>
      </c>
    </row>
    <row r="2" spans="2:22" s="43" customFormat="1" ht="116.25" customHeight="1">
      <c r="B2" s="45"/>
      <c r="C2" s="45"/>
      <c r="D2" s="45"/>
      <c r="E2" s="46"/>
      <c r="I2" s="144" t="s">
        <v>139</v>
      </c>
      <c r="J2" s="144"/>
      <c r="K2" s="144"/>
      <c r="L2" s="144"/>
      <c r="N2" s="144" t="s">
        <v>140</v>
      </c>
      <c r="O2" s="144"/>
      <c r="P2" s="144"/>
      <c r="Q2" s="144"/>
      <c r="S2" s="144" t="s">
        <v>141</v>
      </c>
      <c r="T2" s="144"/>
      <c r="U2" s="144"/>
      <c r="V2" s="144"/>
    </row>
    <row r="3" spans="2:22" ht="23.25" customHeight="1">
      <c r="E3" s="47"/>
      <c r="F3" s="48" t="s">
        <v>142</v>
      </c>
      <c r="G3" s="49" t="s">
        <v>143</v>
      </c>
    </row>
    <row r="4" spans="2:22" s="44" customFormat="1" ht="50.1" customHeight="1">
      <c r="B4" s="50" t="s">
        <v>3</v>
      </c>
      <c r="C4" s="50" t="s">
        <v>4</v>
      </c>
      <c r="D4" s="50" t="s">
        <v>5</v>
      </c>
      <c r="E4" s="50" t="s">
        <v>117</v>
      </c>
      <c r="F4" s="50" t="s">
        <v>118</v>
      </c>
      <c r="G4" s="50" t="s">
        <v>119</v>
      </c>
      <c r="I4" s="15" t="s">
        <v>6</v>
      </c>
      <c r="J4" s="16" t="s">
        <v>144</v>
      </c>
      <c r="K4" s="17" t="s">
        <v>115</v>
      </c>
      <c r="L4" s="16" t="s">
        <v>116</v>
      </c>
      <c r="N4" s="15" t="s">
        <v>6</v>
      </c>
      <c r="O4" s="16" t="s">
        <v>145</v>
      </c>
      <c r="P4" s="17" t="s">
        <v>115</v>
      </c>
      <c r="Q4" s="16" t="s">
        <v>116</v>
      </c>
      <c r="S4" s="15" t="s">
        <v>6</v>
      </c>
      <c r="T4" s="16" t="s">
        <v>146</v>
      </c>
      <c r="U4" s="17" t="s">
        <v>115</v>
      </c>
      <c r="V4" s="16" t="s">
        <v>116</v>
      </c>
    </row>
    <row r="5" spans="2:22" ht="24" customHeight="1">
      <c r="B5" s="44">
        <f>IFERROR((#REF!&lt;=#REF!)*(Inventory_List_Table38[[#This Row],[Tem Estoque?]]="")*RealceValor,0)</f>
        <v>0</v>
      </c>
      <c r="E5" s="53"/>
      <c r="F5" s="52">
        <v>50</v>
      </c>
      <c r="I5" s="22">
        <v>65799</v>
      </c>
      <c r="J5" s="22" t="s">
        <v>147</v>
      </c>
      <c r="K5" s="23">
        <v>30</v>
      </c>
      <c r="L5" s="21" t="s">
        <v>121</v>
      </c>
      <c r="N5" s="22">
        <v>65799</v>
      </c>
      <c r="O5" s="22" t="s">
        <v>147</v>
      </c>
      <c r="P5" s="23">
        <v>23</v>
      </c>
      <c r="Q5" s="39" t="s">
        <v>121</v>
      </c>
      <c r="S5" s="22">
        <v>65799</v>
      </c>
      <c r="T5" s="22" t="s">
        <v>147</v>
      </c>
      <c r="U5" s="23">
        <v>10</v>
      </c>
      <c r="V5" s="38" t="s">
        <v>121</v>
      </c>
    </row>
    <row r="6" spans="2:22" ht="24" customHeight="1">
      <c r="B6" s="44">
        <f>IFERROR((#REF!&lt;=#REF!)*(Inventory_List_Table38[[#This Row],[Tem Estoque?]]="")*RealceValor,0)</f>
        <v>0</v>
      </c>
      <c r="F6" s="52">
        <v>50</v>
      </c>
      <c r="I6" s="19">
        <v>66571</v>
      </c>
      <c r="J6" s="19" t="s">
        <v>148</v>
      </c>
      <c r="K6" s="21">
        <v>10</v>
      </c>
      <c r="L6" s="23" t="s">
        <v>121</v>
      </c>
      <c r="N6" s="19">
        <v>66571</v>
      </c>
      <c r="O6" s="19" t="s">
        <v>148</v>
      </c>
      <c r="P6" s="21">
        <v>20</v>
      </c>
      <c r="Q6" s="38" t="s">
        <v>121</v>
      </c>
      <c r="S6" s="19">
        <v>65799</v>
      </c>
      <c r="T6" s="19" t="s">
        <v>148</v>
      </c>
      <c r="U6" s="21">
        <v>10</v>
      </c>
      <c r="V6" s="39" t="s">
        <v>121</v>
      </c>
    </row>
    <row r="7" spans="2:22" ht="24" customHeight="1">
      <c r="B7" s="44">
        <f>IFERROR((#REF!&lt;=#REF!)*(Inventory_List_Table38[[#This Row],[Tem Estoque?]]="")*RealceValor,0)</f>
        <v>0</v>
      </c>
      <c r="F7" s="52">
        <v>150</v>
      </c>
      <c r="I7" s="22">
        <v>16002</v>
      </c>
      <c r="J7" s="22" t="s">
        <v>149</v>
      </c>
      <c r="K7" s="23">
        <v>90</v>
      </c>
      <c r="L7" s="21" t="s">
        <v>121</v>
      </c>
      <c r="N7" s="22">
        <v>16002</v>
      </c>
      <c r="O7" s="22" t="s">
        <v>149</v>
      </c>
      <c r="P7" s="23">
        <v>75</v>
      </c>
      <c r="Q7" s="39" t="s">
        <v>121</v>
      </c>
      <c r="S7" s="22">
        <v>53280</v>
      </c>
      <c r="T7" s="22" t="s">
        <v>150</v>
      </c>
      <c r="U7" s="23">
        <v>40</v>
      </c>
      <c r="V7" s="23" t="s">
        <v>121</v>
      </c>
    </row>
    <row r="8" spans="2:22" ht="24" customHeight="1">
      <c r="B8" s="44">
        <f>IFERROR((#REF!&lt;=#REF!)*(Inventory_List_Table38[[#This Row],[Tem Estoque?]]="")*RealceValor,0)</f>
        <v>0</v>
      </c>
      <c r="F8" s="52">
        <v>50</v>
      </c>
      <c r="I8" s="19">
        <v>53280</v>
      </c>
      <c r="J8" s="19" t="s">
        <v>150</v>
      </c>
      <c r="K8" s="21">
        <v>40</v>
      </c>
      <c r="L8" s="23" t="s">
        <v>121</v>
      </c>
      <c r="N8" s="22">
        <v>53280</v>
      </c>
      <c r="O8" s="22" t="s">
        <v>150</v>
      </c>
      <c r="P8" s="23">
        <v>40</v>
      </c>
      <c r="Q8" s="23" t="s">
        <v>121</v>
      </c>
      <c r="S8" s="19">
        <v>28244</v>
      </c>
      <c r="T8" s="19" t="s">
        <v>125</v>
      </c>
      <c r="U8" s="21">
        <v>60</v>
      </c>
      <c r="V8" s="21" t="s">
        <v>121</v>
      </c>
    </row>
    <row r="9" spans="2:22" ht="24" customHeight="1">
      <c r="B9" s="44">
        <f>IFERROR((#REF!&lt;=#REF!)*(Inventory_List_Table38[[#This Row],[Tem Estoque?]]="")*RealceValor,0)</f>
        <v>0</v>
      </c>
      <c r="F9" s="52">
        <v>50</v>
      </c>
      <c r="I9" s="22">
        <v>28244</v>
      </c>
      <c r="J9" s="22" t="s">
        <v>125</v>
      </c>
      <c r="K9" s="23">
        <v>64</v>
      </c>
      <c r="L9" s="23" t="s">
        <v>121</v>
      </c>
      <c r="N9" s="19">
        <v>28244</v>
      </c>
      <c r="O9" s="19" t="s">
        <v>125</v>
      </c>
      <c r="P9" s="21">
        <v>64</v>
      </c>
      <c r="Q9" s="21" t="s">
        <v>121</v>
      </c>
      <c r="S9" s="22">
        <v>19054</v>
      </c>
      <c r="T9" s="22" t="s">
        <v>126</v>
      </c>
      <c r="U9" s="23">
        <v>42</v>
      </c>
      <c r="V9" s="38" t="s">
        <v>121</v>
      </c>
    </row>
    <row r="10" spans="2:22" ht="24" customHeight="1">
      <c r="B10" s="44">
        <f>IFERROR((#REF!&lt;=#REF!)*(Inventory_List_Table38[[#This Row],[Tem Estoque?]]="")*RealceValor,0)</f>
        <v>0</v>
      </c>
      <c r="F10" s="52">
        <v>150</v>
      </c>
      <c r="I10" s="22">
        <v>19054</v>
      </c>
      <c r="J10" s="22" t="s">
        <v>126</v>
      </c>
      <c r="K10" s="23">
        <v>40</v>
      </c>
      <c r="L10" s="23" t="s">
        <v>121</v>
      </c>
      <c r="N10" s="22">
        <v>19054</v>
      </c>
      <c r="O10" s="22" t="s">
        <v>126</v>
      </c>
      <c r="P10" s="23">
        <v>40</v>
      </c>
      <c r="Q10" s="39" t="s">
        <v>121</v>
      </c>
      <c r="S10" s="22">
        <v>19231</v>
      </c>
      <c r="T10" s="22" t="s">
        <v>127</v>
      </c>
      <c r="U10" s="23">
        <v>20</v>
      </c>
      <c r="V10" s="39" t="s">
        <v>121</v>
      </c>
    </row>
    <row r="11" spans="2:22" ht="24" customHeight="1">
      <c r="B11" s="44">
        <f>IFERROR((#REF!&lt;=#REF!)*(Inventory_List_Table38[[#This Row],[Tem Estoque?]]="")*RealceValor,0)</f>
        <v>0</v>
      </c>
      <c r="F11" s="52">
        <v>100</v>
      </c>
      <c r="I11" s="19">
        <v>19231</v>
      </c>
      <c r="J11" s="19" t="s">
        <v>127</v>
      </c>
      <c r="K11" s="21">
        <v>20</v>
      </c>
      <c r="L11" s="21" t="s">
        <v>121</v>
      </c>
      <c r="N11" s="19">
        <v>19231</v>
      </c>
      <c r="O11" s="19" t="s">
        <v>127</v>
      </c>
      <c r="P11" s="21">
        <v>20</v>
      </c>
      <c r="Q11" s="38" t="s">
        <v>121</v>
      </c>
      <c r="S11" s="22">
        <v>53266</v>
      </c>
      <c r="T11" s="22" t="s">
        <v>132</v>
      </c>
      <c r="U11" s="23">
        <v>12</v>
      </c>
      <c r="V11" s="23" t="s">
        <v>121</v>
      </c>
    </row>
    <row r="12" spans="2:22" ht="24" customHeight="1">
      <c r="B12" s="44">
        <f>IFERROR((#REF!&lt;=#REF!)*(Inventory_List_Table38[[#This Row],[Tem Estoque?]]="")*RealceValor,0)</f>
        <v>0</v>
      </c>
      <c r="F12" s="52">
        <v>100</v>
      </c>
      <c r="I12" s="22">
        <v>53266</v>
      </c>
      <c r="J12" s="22" t="s">
        <v>132</v>
      </c>
      <c r="K12" s="23">
        <v>12</v>
      </c>
      <c r="L12" s="23" t="s">
        <v>121</v>
      </c>
      <c r="N12" s="22">
        <v>53266</v>
      </c>
      <c r="O12" s="22" t="s">
        <v>132</v>
      </c>
      <c r="P12" s="23">
        <v>12</v>
      </c>
      <c r="Q12" s="39" t="s">
        <v>121</v>
      </c>
      <c r="S12" s="19">
        <v>28206</v>
      </c>
      <c r="T12" s="19" t="s">
        <v>133</v>
      </c>
      <c r="U12" s="21">
        <v>24</v>
      </c>
      <c r="V12" s="21" t="s">
        <v>121</v>
      </c>
    </row>
    <row r="13" spans="2:22" ht="24" customHeight="1">
      <c r="B13" s="44">
        <f>IFERROR((#REF!&lt;=#REF!)*(Inventory_List_Table38[[#This Row],[Tem Estoque?]]="")*RealceValor,0)</f>
        <v>0</v>
      </c>
      <c r="F13" s="52">
        <v>150</v>
      </c>
      <c r="I13" s="19">
        <v>28206</v>
      </c>
      <c r="J13" s="19" t="s">
        <v>133</v>
      </c>
      <c r="K13" s="21">
        <v>24</v>
      </c>
      <c r="L13" s="21" t="s">
        <v>121</v>
      </c>
      <c r="N13" s="22">
        <v>28206</v>
      </c>
      <c r="O13" s="22" t="s">
        <v>133</v>
      </c>
      <c r="P13" s="23">
        <v>24</v>
      </c>
      <c r="Q13" s="23" t="s">
        <v>121</v>
      </c>
      <c r="S13" s="22">
        <v>28543</v>
      </c>
      <c r="T13" s="22" t="s">
        <v>131</v>
      </c>
      <c r="U13" s="23">
        <v>100</v>
      </c>
      <c r="V13" s="38" t="s">
        <v>121</v>
      </c>
    </row>
    <row r="14" spans="2:22" ht="24" customHeight="1">
      <c r="B14" s="44">
        <f>IFERROR((#REF!&lt;=#REF!)*(Inventory_List_Table38[[#This Row],[Tem Estoque?]]="")*RealceValor,0)</f>
        <v>0</v>
      </c>
      <c r="F14" s="52">
        <v>150</v>
      </c>
      <c r="I14" s="22">
        <v>28543</v>
      </c>
      <c r="J14" s="22" t="s">
        <v>131</v>
      </c>
      <c r="K14" s="23">
        <v>100</v>
      </c>
      <c r="L14" s="63" t="s">
        <v>121</v>
      </c>
      <c r="N14" s="19">
        <v>28543</v>
      </c>
      <c r="O14" s="19" t="s">
        <v>131</v>
      </c>
      <c r="P14" s="21">
        <v>100</v>
      </c>
      <c r="Q14" s="21" t="s">
        <v>121</v>
      </c>
      <c r="S14" s="19">
        <v>54132</v>
      </c>
      <c r="T14" s="19" t="s">
        <v>151</v>
      </c>
      <c r="U14" s="21">
        <v>50</v>
      </c>
      <c r="V14" s="39" t="s">
        <v>121</v>
      </c>
    </row>
    <row r="15" spans="2:22" ht="24" customHeight="1">
      <c r="B15" s="44">
        <f>IFERROR((#REF!&lt;=#REF!)*(Inventory_List_Table38[[#This Row],[Tem Estoque?]]="")*RealceValor,0)</f>
        <v>0</v>
      </c>
      <c r="F15" s="52">
        <v>100</v>
      </c>
      <c r="I15" s="19">
        <v>54132</v>
      </c>
      <c r="J15" s="19" t="s">
        <v>38</v>
      </c>
      <c r="K15" s="21">
        <v>50</v>
      </c>
      <c r="L15" s="21" t="s">
        <v>121</v>
      </c>
      <c r="N15" s="22">
        <v>54132</v>
      </c>
      <c r="O15" s="22" t="s">
        <v>151</v>
      </c>
      <c r="P15" s="23">
        <v>50</v>
      </c>
      <c r="Q15" s="39" t="s">
        <v>121</v>
      </c>
      <c r="S15" s="22">
        <v>25209</v>
      </c>
      <c r="T15" s="22" t="s">
        <v>134</v>
      </c>
      <c r="U15" s="23">
        <v>12</v>
      </c>
      <c r="V15" s="23" t="s">
        <v>121</v>
      </c>
    </row>
    <row r="16" spans="2:22" ht="24" customHeight="1">
      <c r="B16" s="44">
        <f>IFERROR((#REF!&lt;=#REF!)*(Inventory_List_Table38[[#This Row],[Tem Estoque?]]="")*RealceValor,0)</f>
        <v>0</v>
      </c>
      <c r="F16" s="52">
        <v>50</v>
      </c>
      <c r="I16" s="22">
        <v>25209</v>
      </c>
      <c r="J16" s="22" t="s">
        <v>134</v>
      </c>
      <c r="K16" s="23">
        <v>24</v>
      </c>
      <c r="L16" s="23" t="s">
        <v>121</v>
      </c>
      <c r="N16" s="19">
        <v>25209</v>
      </c>
      <c r="O16" s="19" t="s">
        <v>134</v>
      </c>
      <c r="P16" s="21">
        <v>12</v>
      </c>
      <c r="Q16" s="38" t="s">
        <v>121</v>
      </c>
      <c r="S16" s="22">
        <v>18838</v>
      </c>
      <c r="T16" s="22" t="s">
        <v>136</v>
      </c>
      <c r="U16" s="23">
        <v>2</v>
      </c>
      <c r="V16" s="21" t="s">
        <v>121</v>
      </c>
    </row>
    <row r="17" spans="2:22" ht="24" customHeight="1">
      <c r="B17" s="44">
        <f>IFERROR((#REF!&lt;=#REF!)*(Inventory_List_Table38[[#This Row],[Tem Estoque?]]="")*RealceValor,0)</f>
        <v>0</v>
      </c>
      <c r="F17" s="52">
        <v>100</v>
      </c>
      <c r="I17" s="22">
        <v>27847</v>
      </c>
      <c r="J17" s="22" t="s">
        <v>135</v>
      </c>
      <c r="K17" s="23">
        <v>12</v>
      </c>
      <c r="L17" s="21" t="s">
        <v>121</v>
      </c>
      <c r="N17" s="22">
        <v>27847</v>
      </c>
      <c r="O17" s="22" t="s">
        <v>135</v>
      </c>
      <c r="P17" s="23">
        <v>24</v>
      </c>
      <c r="Q17" s="39" t="s">
        <v>121</v>
      </c>
      <c r="S17" s="22">
        <v>28244</v>
      </c>
      <c r="T17" s="22" t="s">
        <v>152</v>
      </c>
      <c r="U17" s="23">
        <v>56</v>
      </c>
      <c r="V17" s="38" t="s">
        <v>121</v>
      </c>
    </row>
    <row r="18" spans="2:22" ht="24" customHeight="1">
      <c r="B18" s="44">
        <f>IFERROR((#REF!&lt;=#REF!)*(Inventory_List_Table38[[#This Row],[Tem Estoque?]]="")*RealceValor,0)</f>
        <v>0</v>
      </c>
      <c r="F18" s="52">
        <v>100</v>
      </c>
      <c r="I18" s="19">
        <v>18838</v>
      </c>
      <c r="J18" s="19" t="s">
        <v>136</v>
      </c>
      <c r="K18" s="21">
        <v>14</v>
      </c>
      <c r="L18" s="23" t="s">
        <v>121</v>
      </c>
      <c r="N18" s="22">
        <v>18838</v>
      </c>
      <c r="O18" s="22" t="s">
        <v>136</v>
      </c>
      <c r="P18" s="23">
        <v>2</v>
      </c>
      <c r="Q18" s="23" t="s">
        <v>121</v>
      </c>
      <c r="S18" s="29"/>
      <c r="T18" s="31"/>
      <c r="U18" s="33"/>
      <c r="V18" s="23"/>
    </row>
    <row r="19" spans="2:22" ht="24" customHeight="1">
      <c r="B19" s="44">
        <f>IFERROR((#REF!&lt;=#REF!)*(Inventory_List_Table38[[#This Row],[Tem Estoque?]]="")*RealceValor,0)</f>
        <v>0</v>
      </c>
      <c r="F19" s="52">
        <v>50</v>
      </c>
      <c r="I19" s="22">
        <v>28244</v>
      </c>
      <c r="J19" s="22" t="s">
        <v>125</v>
      </c>
      <c r="K19" s="23">
        <v>56</v>
      </c>
      <c r="L19" s="21" t="s">
        <v>121</v>
      </c>
      <c r="N19" s="19">
        <v>28244</v>
      </c>
      <c r="O19" s="19" t="s">
        <v>125</v>
      </c>
      <c r="P19" s="21">
        <v>56</v>
      </c>
      <c r="Q19" s="21" t="s">
        <v>121</v>
      </c>
      <c r="S19" s="29"/>
      <c r="T19" s="31"/>
      <c r="U19" s="33"/>
      <c r="V19" s="21"/>
    </row>
    <row r="20" spans="2:22" ht="24" customHeight="1">
      <c r="B20" s="44">
        <f>IFERROR((#REF!&lt;=#REF!)*(Inventory_List_Table38[[#This Row],[Tem Estoque?]]="")*RealceValor,0)</f>
        <v>0</v>
      </c>
      <c r="F20" s="52">
        <v>50</v>
      </c>
      <c r="I20" s="19">
        <v>66569</v>
      </c>
      <c r="J20" s="19" t="s">
        <v>122</v>
      </c>
      <c r="K20" s="21">
        <v>8</v>
      </c>
      <c r="L20" s="23" t="s">
        <v>121</v>
      </c>
      <c r="N20" s="22">
        <v>53298</v>
      </c>
      <c r="O20" s="22" t="s">
        <v>153</v>
      </c>
      <c r="P20" s="23">
        <v>14</v>
      </c>
      <c r="Q20" s="39" t="s">
        <v>121</v>
      </c>
      <c r="S20" s="29"/>
      <c r="T20" s="31"/>
      <c r="U20" s="33"/>
      <c r="V20" s="23"/>
    </row>
    <row r="21" spans="2:22" ht="24" customHeight="1">
      <c r="B21" s="44">
        <f>IFERROR((#REF!&lt;=#REF!)*(Inventory_List_Table38[[#This Row],[Tem Estoque?]]="")*RealceValor,0)</f>
        <v>0</v>
      </c>
      <c r="F21" s="52">
        <v>50</v>
      </c>
      <c r="G21" s="51" t="s">
        <v>143</v>
      </c>
      <c r="I21" s="22">
        <v>28383</v>
      </c>
      <c r="J21" s="22" t="s">
        <v>154</v>
      </c>
      <c r="K21" s="23">
        <v>24</v>
      </c>
      <c r="L21" s="21" t="s">
        <v>121</v>
      </c>
      <c r="N21" s="19">
        <v>66569</v>
      </c>
      <c r="O21" s="19" t="s">
        <v>122</v>
      </c>
      <c r="P21" s="21">
        <v>8</v>
      </c>
      <c r="Q21" s="62" t="s">
        <v>121</v>
      </c>
      <c r="S21" s="35"/>
      <c r="T21" s="40"/>
      <c r="U21" s="34"/>
      <c r="V21" s="21"/>
    </row>
    <row r="22" spans="2:22" ht="24" customHeight="1">
      <c r="B22" s="44">
        <f>IFERROR((#REF!&lt;=#REF!)*(Inventory_List_Table38[[#This Row],[Tem Estoque?]]="")*RealceValor,0)</f>
        <v>0</v>
      </c>
      <c r="F22" s="52">
        <v>50</v>
      </c>
      <c r="I22" s="19">
        <v>53278</v>
      </c>
      <c r="J22" s="19" t="s">
        <v>124</v>
      </c>
      <c r="K22" s="21">
        <v>12</v>
      </c>
      <c r="L22" s="21" t="s">
        <v>121</v>
      </c>
      <c r="N22" s="22"/>
      <c r="O22" s="22"/>
      <c r="P22" s="23"/>
      <c r="Q22" s="38"/>
      <c r="S22" s="22"/>
      <c r="T22" s="22"/>
      <c r="U22" s="23"/>
      <c r="V22" s="38"/>
    </row>
    <row r="23" spans="2:22" ht="24" customHeight="1">
      <c r="B23" s="44">
        <f>IFERROR((#REF!&lt;=#REF!)*(Inventory_List_Table38[[#This Row],[Tem Estoque?]]="")*RealceValor,0)</f>
        <v>0</v>
      </c>
      <c r="F23" s="52">
        <v>150</v>
      </c>
      <c r="I23" s="22"/>
      <c r="J23" s="22"/>
      <c r="K23" s="23"/>
      <c r="L23" s="21"/>
      <c r="N23" s="22"/>
      <c r="O23" s="22"/>
      <c r="P23" s="23"/>
      <c r="Q23" s="39"/>
      <c r="S23" s="22"/>
      <c r="T23" s="22"/>
      <c r="U23" s="23"/>
      <c r="V23" s="39"/>
    </row>
    <row r="24" spans="2:22" ht="24" customHeight="1">
      <c r="B24" s="44">
        <f>IFERROR((#REF!&lt;=#REF!)*(Inventory_List_Table38[[#This Row],[Tem Estoque?]]="")*RealceValor,0)</f>
        <v>0</v>
      </c>
      <c r="F24" s="52">
        <v>50</v>
      </c>
      <c r="I24" s="36"/>
      <c r="J24" s="36"/>
      <c r="K24" s="37"/>
      <c r="L24" s="21"/>
      <c r="N24" s="22"/>
      <c r="O24" s="22"/>
      <c r="P24" s="23"/>
      <c r="Q24" s="38"/>
      <c r="S24" s="22"/>
      <c r="T24" s="22"/>
      <c r="U24" s="23"/>
      <c r="V24" s="38"/>
    </row>
    <row r="25" spans="2:22" ht="24" customHeight="1">
      <c r="B25" s="44">
        <f>IFERROR((#REF!&lt;=#REF!)*(Inventory_List_Table38[[#This Row],[Tem Estoque?]]="")*RealceValor,0)</f>
        <v>0</v>
      </c>
      <c r="F25" s="52">
        <v>50</v>
      </c>
      <c r="I25" s="22"/>
      <c r="J25" s="22"/>
      <c r="K25" s="23"/>
      <c r="L25" s="21"/>
      <c r="N25" s="19"/>
      <c r="O25" s="19"/>
      <c r="P25" s="21"/>
      <c r="Q25" s="39"/>
      <c r="S25" s="19"/>
      <c r="T25" s="19"/>
      <c r="U25" s="21"/>
      <c r="V25" s="39"/>
    </row>
    <row r="26" spans="2:22" ht="24" customHeight="1">
      <c r="B26" s="44">
        <f>IFERROR((#REF!&lt;=#REF!)*(Inventory_List_Table38[[#This Row],[Tem Estoque?]]="")*RealceValor,0)</f>
        <v>0</v>
      </c>
      <c r="F26" s="52">
        <v>150</v>
      </c>
      <c r="I26" s="36"/>
      <c r="J26" s="36"/>
      <c r="K26" s="37"/>
      <c r="L26" s="23"/>
      <c r="N26" s="22"/>
      <c r="O26" s="22"/>
      <c r="P26" s="23"/>
      <c r="Q26" s="23"/>
      <c r="S26" s="22"/>
      <c r="T26" s="22"/>
      <c r="U26" s="23"/>
      <c r="V26" s="23"/>
    </row>
    <row r="27" spans="2:22" ht="24" customHeight="1">
      <c r="B27" s="44">
        <f>IFERROR((#REF!&lt;=#REF!)*(Inventory_List_Table38[[#This Row],[Tem Estoque?]]="")*RealceValor,0)</f>
        <v>0</v>
      </c>
      <c r="F27" s="52">
        <v>150</v>
      </c>
      <c r="G27" s="51" t="s">
        <v>143</v>
      </c>
      <c r="I27" s="22"/>
      <c r="J27" s="22"/>
      <c r="K27" s="23"/>
      <c r="L27" s="21"/>
      <c r="N27" s="19"/>
      <c r="O27" s="19"/>
      <c r="P27" s="21"/>
      <c r="Q27" s="21"/>
      <c r="S27" s="19"/>
      <c r="T27" s="19"/>
      <c r="U27" s="21"/>
      <c r="V27" s="21"/>
    </row>
    <row r="28" spans="2:22" ht="24" customHeight="1">
      <c r="B28" s="44">
        <f>IFERROR((#REF!&lt;=#REF!)*(Inventory_List_Table38[[#This Row],[Tem Estoque?]]="")*RealceValor,0)</f>
        <v>0</v>
      </c>
      <c r="F28" s="52">
        <v>100</v>
      </c>
      <c r="I28" s="22"/>
      <c r="J28" s="22"/>
      <c r="K28" s="23"/>
      <c r="L28" s="23"/>
      <c r="N28" s="22"/>
      <c r="O28" s="22"/>
      <c r="P28" s="23"/>
      <c r="Q28" s="23"/>
      <c r="S28" s="22"/>
      <c r="T28" s="22"/>
      <c r="U28" s="23"/>
      <c r="V28" s="23"/>
    </row>
    <row r="29" spans="2:22" ht="24" customHeight="1" thickBot="1">
      <c r="B29" s="44">
        <f>IFERROR((#REF!&lt;=#REF!)*(Inventory_List_Table38[[#This Row],[Tem Estoque?]]="")*RealceValor,0)</f>
        <v>0</v>
      </c>
      <c r="F29" s="52">
        <v>50</v>
      </c>
      <c r="I29" s="36"/>
      <c r="J29" s="36"/>
      <c r="K29" s="37"/>
      <c r="L29" s="37"/>
      <c r="N29" s="36"/>
      <c r="O29" s="36"/>
      <c r="P29" s="37"/>
      <c r="Q29" s="37"/>
      <c r="S29" s="36"/>
      <c r="T29" s="36"/>
      <c r="U29" s="37"/>
      <c r="V29" s="37"/>
    </row>
    <row r="30" spans="2:22" ht="24" customHeight="1" thickTop="1"/>
  </sheetData>
  <mergeCells count="3">
    <mergeCell ref="I2:L2"/>
    <mergeCell ref="N2:Q2"/>
    <mergeCell ref="S2:V2"/>
  </mergeCells>
  <conditionalFormatting sqref="B5:G29 I5:L29 N5:Q29 S5:V29">
    <cfRule type="expression" dxfId="150" priority="6">
      <formula>$G5="Sim"</formula>
    </cfRule>
    <cfRule type="expression" dxfId="149" priority="7">
      <formula>$B5=1</formula>
    </cfRule>
  </conditionalFormatting>
  <dataValidations count="12"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FCA39D5D-6D97-4E3F-AEA9-0D5BA3AFDD84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017068FA-992B-4173-8ED5-E8EFFC13B2EC}"/>
    <dataValidation allowBlank="1" showInputMessage="1" showErrorMessage="1" prompt="Insira a ID de estoque do item nesta coluna" sqref="I4 N4 S4" xr:uid="{163C948B-302B-4C97-8E82-D917EA4B699B}"/>
    <dataValidation allowBlank="1" showInputMessage="1" showErrorMessage="1" prompt="Insira sim se o item tiver sido descontinuado. Ao inserir Sim, a linha correspondente é realçada em cinza claro e o estilo da fonte é alterado para Tachado" sqref="G4" xr:uid="{9F60AF11-664E-4B3E-B0C2-F04C2A4F8630}"/>
    <dataValidation allowBlank="1" showInputMessage="1" showErrorMessage="1" prompt="Insira a quantidade a encomendar de cada item nesta coluna" sqref="F4" xr:uid="{E793811A-3B4E-4EF3-9067-53E5E5304450}"/>
    <dataValidation allowBlank="1" showInputMessage="1" showErrorMessage="1" prompt="Insira quantos dias faltam para realizar nova encomenda de cada item nesta coluna" sqref="E4" xr:uid="{3F6E5EB1-1FD2-4BBE-92CE-FD49436264E6}"/>
    <dataValidation allowBlank="1" showInputMessage="1" showErrorMessage="1" prompt="Insira a quantidade em estoque de cada item nesta coluna" sqref="K4:L4 P4:Q4 U4:V4" xr:uid="{B6B7EEC4-1EDF-4722-88B0-B881ED099E0C}"/>
    <dataValidation allowBlank="1" showInputMessage="1" showErrorMessage="1" prompt="Insira uma descrição do item nesta coluna" sqref="J4 O4 T4" xr:uid="{5A90A7BC-CC73-4DDD-ACBA-2A8842B8FC9C}"/>
    <dataValidation type="list" allowBlank="1" showInputMessage="1" showErrorMessage="1" sqref="G6:G29" xr:uid="{7A01294E-68F9-4F5C-A39F-87E21B2BEBF2}">
      <formula1>"Sim"</formula1>
    </dataValidation>
    <dataValidation type="list" allowBlank="1" showInputMessage="1" showErrorMessage="1" prompt="Selecione Sim para habilitar o realce de itens para ordenar. Isso aplica uma sinalização na coluna B e realça a linha correspondente na tabela Lista de estoque. Selecionar Não apagará os destaques e a sinalização." sqref="G3" xr:uid="{51BC5784-6981-4A77-B02D-B3FEB2343AF5}">
      <formula1>"Sim, Não"</formula1>
    </dataValidation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64653DB8-141A-4035-9621-777AD328030D}"/>
    <dataValidation type="list" allowBlank="1" showInputMessage="1" showErrorMessage="1" sqref="G5" xr:uid="{4DE17064-305C-487F-A8FD-4F67AA6E5C9C}">
      <formula1>"Não"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09E2AE2D-880D-4BE5-A08B-C766E9D0F709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B5:D29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698FE-02FF-43E0-9086-24ECDCE87FFE}">
  <sheetPr>
    <pageSetUpPr fitToPage="1"/>
  </sheetPr>
  <dimension ref="B1:L28"/>
  <sheetViews>
    <sheetView showGridLines="0" zoomScale="55" zoomScaleNormal="55" workbookViewId="0">
      <selection activeCell="Q9" sqref="Q9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18.5546875" style="6" customWidth="1"/>
    <col min="6" max="6" width="58.44140625" style="6" bestFit="1" customWidth="1"/>
    <col min="7" max="7" width="23.109375" style="8" customWidth="1"/>
    <col min="8" max="8" width="13.6640625" style="8" customWidth="1"/>
    <col min="9" max="9" width="0.21875" style="8" hidden="1" customWidth="1"/>
    <col min="10" max="10" width="0.109375" style="8" hidden="1" customWidth="1"/>
    <col min="11" max="11" width="18.88671875" style="6" hidden="1" customWidth="1"/>
    <col min="12" max="12" width="62.77734375" style="4" bestFit="1" customWidth="1"/>
    <col min="13" max="13" width="13.6640625" style="4" customWidth="1"/>
    <col min="14" max="16384" width="8.77734375" style="4"/>
  </cols>
  <sheetData>
    <row r="1" spans="2:12" s="1" customFormat="1" ht="116.25" customHeight="1">
      <c r="B1" s="2"/>
      <c r="C1" s="2"/>
      <c r="D1" s="2"/>
      <c r="E1" s="5"/>
      <c r="F1" s="5"/>
      <c r="G1" s="7"/>
      <c r="H1" s="7"/>
      <c r="I1" s="7"/>
    </row>
    <row r="2" spans="2:12" ht="48">
      <c r="E2" s="146" t="s">
        <v>155</v>
      </c>
      <c r="F2" s="146"/>
      <c r="G2" s="146"/>
      <c r="H2" s="146"/>
      <c r="I2" s="146"/>
      <c r="J2" s="12" t="s">
        <v>142</v>
      </c>
      <c r="K2" s="13" t="s">
        <v>143</v>
      </c>
    </row>
    <row r="3" spans="2:12" s="3" customFormat="1" ht="50.1" customHeight="1" thickBot="1">
      <c r="B3" s="9" t="s">
        <v>3</v>
      </c>
      <c r="C3" s="9" t="s">
        <v>4</v>
      </c>
      <c r="D3" s="9" t="s">
        <v>5</v>
      </c>
      <c r="E3" s="9" t="s">
        <v>6</v>
      </c>
      <c r="F3" s="9" t="s">
        <v>156</v>
      </c>
      <c r="G3" s="9" t="s">
        <v>115</v>
      </c>
      <c r="H3" s="9" t="s">
        <v>8</v>
      </c>
      <c r="I3" s="9" t="s">
        <v>117</v>
      </c>
      <c r="J3" s="9" t="s">
        <v>118</v>
      </c>
      <c r="K3" s="9" t="s">
        <v>116</v>
      </c>
      <c r="L3" s="127" t="s">
        <v>157</v>
      </c>
    </row>
    <row r="4" spans="2:12" ht="24" customHeight="1" thickBot="1">
      <c r="B4" s="3">
        <f>IFERROR((Inventory_List_Table1213[[#This Row],[Quantidade]]&lt;=Inventory_List_Table1213[[#This Row],[Dimensão]])*(Inventory_List_Table1213[[#This Row],[Dimensão ]]="")*RealceValor,0)</f>
        <v>1</v>
      </c>
      <c r="E4" s="28">
        <v>21483</v>
      </c>
      <c r="F4" s="30" t="s">
        <v>158</v>
      </c>
      <c r="G4" s="32" t="s">
        <v>159</v>
      </c>
      <c r="H4" s="8" t="s">
        <v>160</v>
      </c>
      <c r="I4" s="126"/>
      <c r="J4" s="8">
        <v>50</v>
      </c>
      <c r="L4" s="124"/>
    </row>
    <row r="5" spans="2:12" ht="24" customHeight="1" thickBot="1">
      <c r="B5" s="3">
        <f>IFERROR((Inventory_List_Table1213[[#This Row],[Quantidade]]&lt;=Inventory_List_Table1213[[#This Row],[Dimensão]])*(Inventory_List_Table1213[[#This Row],[Dimensão ]]="")*RealceValor,0)</f>
        <v>1</v>
      </c>
      <c r="E5" s="29">
        <v>32438</v>
      </c>
      <c r="F5" s="31" t="s">
        <v>161</v>
      </c>
      <c r="G5" s="32" t="s">
        <v>159</v>
      </c>
      <c r="H5" s="8" t="s">
        <v>160</v>
      </c>
      <c r="J5" s="8">
        <v>50</v>
      </c>
      <c r="L5" s="124"/>
    </row>
    <row r="6" spans="2:12" ht="24" customHeight="1" thickBot="1">
      <c r="B6" s="3">
        <f>IFERROR((Inventory_List_Table1213[[#This Row],[Quantidade]]&lt;=Inventory_List_Table1213[[#This Row],[Dimensão]])*(Inventory_List_Table1213[[#This Row],[Dimensão ]]="")*RealceValor,0)</f>
        <v>1</v>
      </c>
      <c r="E6" s="29">
        <v>21811</v>
      </c>
      <c r="F6" s="31" t="s">
        <v>162</v>
      </c>
      <c r="G6" s="32" t="s">
        <v>159</v>
      </c>
      <c r="H6" s="8" t="s">
        <v>160</v>
      </c>
      <c r="J6" s="8">
        <v>150</v>
      </c>
      <c r="L6" s="124"/>
    </row>
    <row r="7" spans="2:12" ht="24" customHeight="1" thickBot="1">
      <c r="B7" s="3">
        <f>IFERROR((Inventory_List_Table1213[[#This Row],[Quantidade]]&lt;=Inventory_List_Table1213[[#This Row],[Dimensão]])*(Inventory_List_Table1213[[#This Row],[Dimensão ]]="")*RealceValor,0)</f>
        <v>1</v>
      </c>
      <c r="E7" s="29">
        <v>63316</v>
      </c>
      <c r="F7" s="31" t="s">
        <v>163</v>
      </c>
      <c r="G7" s="32" t="s">
        <v>159</v>
      </c>
      <c r="H7" s="8" t="s">
        <v>160</v>
      </c>
      <c r="J7" s="8">
        <v>50</v>
      </c>
      <c r="L7" s="124"/>
    </row>
    <row r="8" spans="2:12" ht="24" customHeight="1">
      <c r="B8" s="3">
        <f>IFERROR((Inventory_List_Table1213[[#This Row],[Quantidade]]&lt;=Inventory_List_Table1213[[#This Row],[Dimensão]])*(Inventory_List_Table1213[[#This Row],[Dimensão ]]="")*RealceValor,0)</f>
        <v>1</v>
      </c>
      <c r="E8" s="29">
        <v>63316</v>
      </c>
      <c r="F8" s="31" t="s">
        <v>164</v>
      </c>
      <c r="G8" s="32" t="s">
        <v>159</v>
      </c>
      <c r="H8" s="8" t="s">
        <v>160</v>
      </c>
      <c r="J8" s="8">
        <v>50</v>
      </c>
      <c r="L8" s="124"/>
    </row>
    <row r="9" spans="2:12" ht="24" customHeight="1">
      <c r="B9" s="3">
        <f>IFERROR((Inventory_List_Table1213[[#This Row],[Quantidade]]&lt;=Inventory_List_Table1213[[#This Row],[Dimensão]])*(Inventory_List_Table1213[[#This Row],[Dimensão ]]="")*RealceValor,0)</f>
        <v>1</v>
      </c>
      <c r="E9" s="57">
        <v>18221</v>
      </c>
      <c r="F9" s="59" t="s">
        <v>165</v>
      </c>
      <c r="G9" s="33" t="s">
        <v>166</v>
      </c>
      <c r="H9" s="8" t="s">
        <v>160</v>
      </c>
      <c r="J9" s="8">
        <v>150</v>
      </c>
      <c r="L9" s="124"/>
    </row>
    <row r="10" spans="2:12" ht="24" customHeight="1">
      <c r="B10" s="3">
        <f>IFERROR((Inventory_List_Table1213[[#This Row],[Quantidade]]&lt;=Inventory_List_Table1213[[#This Row],[Dimensão]])*(Inventory_List_Table1213[[#This Row],[Dimensão ]]="")*RealceValor,0)</f>
        <v>1</v>
      </c>
      <c r="E10" s="57">
        <v>53270</v>
      </c>
      <c r="F10" s="59" t="s">
        <v>167</v>
      </c>
      <c r="G10" s="33">
        <v>100</v>
      </c>
      <c r="H10" s="8" t="s">
        <v>160</v>
      </c>
      <c r="J10" s="8">
        <v>100</v>
      </c>
      <c r="L10" s="124"/>
    </row>
    <row r="11" spans="2:12" ht="24" customHeight="1">
      <c r="B11" s="3">
        <f>IFERROR((Inventory_List_Table1213[[#This Row],[Quantidade]]&lt;=Inventory_List_Table1213[[#This Row],[Dimensão]])*(Inventory_List_Table1213[[#This Row],[Dimensão ]]="")*RealceValor,0)</f>
        <v>1</v>
      </c>
      <c r="E11" s="29">
        <v>73228</v>
      </c>
      <c r="F11" s="59" t="s">
        <v>168</v>
      </c>
      <c r="G11" s="33" t="s">
        <v>169</v>
      </c>
      <c r="H11" s="8" t="s">
        <v>160</v>
      </c>
      <c r="J11" s="8">
        <v>100</v>
      </c>
      <c r="L11" s="124"/>
    </row>
    <row r="12" spans="2:12" ht="24" customHeight="1">
      <c r="B12" s="3">
        <f>IFERROR((Inventory_List_Table1213[[#This Row],[Quantidade]]&lt;=Inventory_List_Table1213[[#This Row],[Dimensão]])*(Inventory_List_Table1213[[#This Row],[Dimensão ]]="")*RealceValor,0)</f>
        <v>0</v>
      </c>
      <c r="E12" s="29">
        <v>66857</v>
      </c>
      <c r="F12" s="59" t="s">
        <v>170</v>
      </c>
      <c r="G12" s="33" t="s">
        <v>171</v>
      </c>
      <c r="H12" s="8" t="s">
        <v>160</v>
      </c>
      <c r="J12" s="8">
        <v>150</v>
      </c>
      <c r="L12" s="124"/>
    </row>
    <row r="13" spans="2:12" ht="24" customHeight="1">
      <c r="B13" s="3">
        <f>IFERROR((Inventory_List_Table1213[[#This Row],[Quantidade]]&lt;=Inventory_List_Table1213[[#This Row],[Dimensão]])*(Inventory_List_Table1213[[#This Row],[Dimensão ]]="")*RealceValor,0)</f>
        <v>1</v>
      </c>
      <c r="E13" s="29">
        <v>73223</v>
      </c>
      <c r="F13" s="59" t="s">
        <v>172</v>
      </c>
      <c r="G13" s="33" t="s">
        <v>169</v>
      </c>
      <c r="H13" s="8" t="s">
        <v>160</v>
      </c>
      <c r="J13" s="8">
        <v>150</v>
      </c>
      <c r="L13" s="124"/>
    </row>
    <row r="14" spans="2:12" ht="24" customHeight="1">
      <c r="B14" s="3">
        <f>IFERROR((Inventory_List_Table1213[[#This Row],[Quantidade]]&lt;=Inventory_List_Table1213[[#This Row],[Dimensão]])*(Inventory_List_Table1213[[#This Row],[Dimensão ]]="")*RealceValor,0)</f>
        <v>1</v>
      </c>
      <c r="E14" s="29">
        <v>66875</v>
      </c>
      <c r="F14" s="59" t="s">
        <v>173</v>
      </c>
      <c r="G14" s="33" t="s">
        <v>174</v>
      </c>
      <c r="H14" s="8" t="s">
        <v>160</v>
      </c>
      <c r="J14" s="8">
        <v>100</v>
      </c>
      <c r="L14" s="124"/>
    </row>
    <row r="15" spans="2:12" ht="24" customHeight="1">
      <c r="B15" s="3">
        <f>IFERROR((Inventory_List_Table1213[[#This Row],[Quantidade]]&lt;=Inventory_List_Table1213[[#This Row],[Dimensão]])*(Inventory_List_Table1213[[#This Row],[Dimensão ]]="")*RealceValor,0)</f>
        <v>1</v>
      </c>
      <c r="E15" s="29">
        <v>66572</v>
      </c>
      <c r="F15" s="59" t="s">
        <v>175</v>
      </c>
      <c r="G15" s="33" t="s">
        <v>176</v>
      </c>
      <c r="H15" s="8" t="s">
        <v>160</v>
      </c>
      <c r="J15" s="8">
        <v>50</v>
      </c>
      <c r="L15" s="124"/>
    </row>
    <row r="16" spans="2:12" ht="24" customHeight="1">
      <c r="B16" s="3">
        <f>IFERROR((Inventory_List_Table1213[[#This Row],[Quantidade]]&lt;=Inventory_List_Table1213[[#This Row],[Dimensão]])*(Inventory_List_Table1213[[#This Row],[Dimensão ]]="")*RealceValor,0)</f>
        <v>1</v>
      </c>
      <c r="E16" s="29">
        <v>53277</v>
      </c>
      <c r="F16" s="59" t="s">
        <v>177</v>
      </c>
      <c r="G16" s="33" t="s">
        <v>178</v>
      </c>
      <c r="H16" s="8" t="s">
        <v>160</v>
      </c>
      <c r="J16" s="8">
        <v>100</v>
      </c>
      <c r="L16" s="124"/>
    </row>
    <row r="17" spans="2:12" ht="24" customHeight="1">
      <c r="B17" s="3">
        <f>IFERROR((Inventory_List_Table1213[[#This Row],[Quantidade]]&lt;=Inventory_List_Table1213[[#This Row],[Dimensão]])*(Inventory_List_Table1213[[#This Row],[Dimensão ]]="")*RealceValor,0)</f>
        <v>1</v>
      </c>
      <c r="E17" s="29">
        <v>13981</v>
      </c>
      <c r="F17" s="59" t="s">
        <v>179</v>
      </c>
      <c r="G17" s="33" t="s">
        <v>180</v>
      </c>
      <c r="H17" s="8" t="s">
        <v>160</v>
      </c>
      <c r="J17" s="8">
        <v>100</v>
      </c>
      <c r="L17" s="124"/>
    </row>
    <row r="18" spans="2:12" ht="24" customHeight="1">
      <c r="B18" s="3">
        <f>IFERROR((Inventory_List_Table1213[[#This Row],[Quantidade]]&lt;=Inventory_List_Table1213[[#This Row],[Dimensão]])*(Inventory_List_Table1213[[#This Row],[Dimensão ]]="")*RealceValor,0)</f>
        <v>1</v>
      </c>
      <c r="E18" s="29">
        <v>53233</v>
      </c>
      <c r="F18" s="59" t="s">
        <v>71</v>
      </c>
      <c r="G18" s="33" t="s">
        <v>181</v>
      </c>
      <c r="H18" s="8" t="s">
        <v>160</v>
      </c>
      <c r="J18" s="8">
        <v>50</v>
      </c>
      <c r="L18" s="124"/>
    </row>
    <row r="19" spans="2:12" ht="24" customHeight="1" thickBot="1">
      <c r="B19" s="3">
        <f>IFERROR((Inventory_List_Table1213[[#This Row],[Quantidade]]&lt;=Inventory_List_Table1213[[#This Row],[Dimensão]])*(Inventory_List_Table1213[[#This Row],[Dimensão ]]="")*RealceValor,0)</f>
        <v>1</v>
      </c>
      <c r="E19" s="58">
        <v>53317</v>
      </c>
      <c r="F19" s="60" t="s">
        <v>182</v>
      </c>
      <c r="G19" s="34" t="s">
        <v>183</v>
      </c>
      <c r="H19" s="8" t="s">
        <v>160</v>
      </c>
      <c r="J19" s="8">
        <v>50</v>
      </c>
      <c r="L19" s="124"/>
    </row>
    <row r="20" spans="2:12" ht="24" customHeight="1">
      <c r="B20" s="3">
        <f>IFERROR((Inventory_List_Table1213[[#This Row],[Quantidade]]&lt;=Inventory_List_Table1213[[#This Row],[Dimensão]])*(Inventory_List_Table1213[[#This Row],[Dimensão ]]="")*RealceValor,0)</f>
        <v>0</v>
      </c>
      <c r="E20" s="29" t="s">
        <v>184</v>
      </c>
      <c r="F20" s="59" t="s">
        <v>185</v>
      </c>
      <c r="G20" s="33">
        <v>22</v>
      </c>
      <c r="H20" s="21" t="s">
        <v>160</v>
      </c>
      <c r="J20" s="8">
        <v>50</v>
      </c>
      <c r="K20" s="6" t="s">
        <v>143</v>
      </c>
      <c r="L20" s="125" t="s">
        <v>186</v>
      </c>
    </row>
    <row r="21" spans="2:12" ht="24" customHeight="1">
      <c r="B21" s="3">
        <f>IFERROR((Inventory_List_Table1213[[#This Row],[Quantidade]]&lt;=Inventory_List_Table1213[[#This Row],[Dimensão]])*(Inventory_List_Table1213[[#This Row],[Dimensão ]]="")*RealceValor,0)</f>
        <v>1</v>
      </c>
      <c r="J21" s="8">
        <v>50</v>
      </c>
      <c r="L21" s="124"/>
    </row>
    <row r="22" spans="2:12" ht="24" customHeight="1">
      <c r="B22" s="3">
        <f>IFERROR((Inventory_List_Table1213[[#This Row],[Quantidade]]&lt;=Inventory_List_Table1213[[#This Row],[Dimensão]])*(Inventory_List_Table1213[[#This Row],[Dimensão ]]="")*RealceValor,0)</f>
        <v>1</v>
      </c>
      <c r="J22" s="8">
        <v>150</v>
      </c>
      <c r="L22" s="124"/>
    </row>
    <row r="23" spans="2:12" ht="24" customHeight="1">
      <c r="B23" s="3">
        <f>IFERROR((Inventory_List_Table1213[[#This Row],[Quantidade]]&lt;=Inventory_List_Table1213[[#This Row],[Dimensão]])*(Inventory_List_Table1213[[#This Row],[Dimensão ]]="")*RealceValor,0)</f>
        <v>1</v>
      </c>
      <c r="J23" s="8">
        <v>50</v>
      </c>
      <c r="L23" s="124"/>
    </row>
    <row r="24" spans="2:12" ht="24" customHeight="1">
      <c r="B24" s="3">
        <f>IFERROR((Inventory_List_Table1213[[#This Row],[Quantidade]]&lt;=Inventory_List_Table1213[[#This Row],[Dimensão]])*(Inventory_List_Table1213[[#This Row],[Dimensão ]]="")*RealceValor,0)</f>
        <v>1</v>
      </c>
      <c r="J24" s="8">
        <v>50</v>
      </c>
      <c r="L24" s="124"/>
    </row>
    <row r="25" spans="2:12" ht="24" customHeight="1">
      <c r="B25" s="3">
        <f>IFERROR((Inventory_List_Table1213[[#This Row],[Quantidade]]&lt;=Inventory_List_Table1213[[#This Row],[Dimensão]])*(Inventory_List_Table1213[[#This Row],[Dimensão ]]="")*RealceValor,0)</f>
        <v>1</v>
      </c>
      <c r="J25" s="8">
        <v>150</v>
      </c>
      <c r="L25" s="124"/>
    </row>
    <row r="26" spans="2:12" ht="24" customHeight="1">
      <c r="B26" s="3">
        <f>IFERROR((Inventory_List_Table1213[[#This Row],[Quantidade]]&lt;=Inventory_List_Table1213[[#This Row],[Dimensão]])*(Inventory_List_Table1213[[#This Row],[Dimensão ]]="")*RealceValor,0)</f>
        <v>0</v>
      </c>
      <c r="J26" s="8">
        <v>150</v>
      </c>
      <c r="K26" s="6" t="s">
        <v>143</v>
      </c>
      <c r="L26" s="124"/>
    </row>
    <row r="27" spans="2:12" ht="24" customHeight="1">
      <c r="B27" s="3">
        <f>IFERROR((Inventory_List_Table1213[[#This Row],[Quantidade]]&lt;=Inventory_List_Table1213[[#This Row],[Dimensão]])*(Inventory_List_Table1213[[#This Row],[Dimensão ]]="")*RealceValor,0)</f>
        <v>1</v>
      </c>
      <c r="J27" s="8">
        <v>100</v>
      </c>
      <c r="L27" s="124"/>
    </row>
    <row r="28" spans="2:12" ht="24" customHeight="1">
      <c r="B28" s="3">
        <f>IFERROR((Inventory_List_Table1213[[#This Row],[Quantidade]]&lt;=Inventory_List_Table1213[[#This Row],[Dimensão]])*(Inventory_List_Table1213[[#This Row],[Dimensão ]]="")*RealceValor,0)</f>
        <v>1</v>
      </c>
      <c r="J28" s="8">
        <v>50</v>
      </c>
      <c r="L28" s="124"/>
    </row>
  </sheetData>
  <mergeCells count="1">
    <mergeCell ref="E2:I2"/>
  </mergeCells>
  <conditionalFormatting sqref="B4:K19 B20:D20 I20:K20 B21:K28">
    <cfRule type="expression" dxfId="133" priority="2">
      <formula>$K4="Sim"</formula>
    </cfRule>
    <cfRule type="expression" dxfId="132" priority="3">
      <formula>$B4=1</formula>
    </cfRule>
  </conditionalFormatting>
  <conditionalFormatting sqref="E20:H20">
    <cfRule type="expression" dxfId="131" priority="4">
      <formula>$K12="Sim"</formula>
    </cfRule>
    <cfRule type="expression" dxfId="130" priority="5">
      <formula>$B12=1</formula>
    </cfRule>
  </conditionalFormatting>
  <dataValidations count="13">
    <dataValidation type="list" allowBlank="1" showInputMessage="1" showErrorMessage="1" sqref="K4" xr:uid="{E5D3395E-398F-4545-9C70-DAA17945E2C4}">
      <formula1>"Não"</formula1>
    </dataValidation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" xr:uid="{FC244174-ED4E-40D5-9B8B-43B5EE3B2475}"/>
    <dataValidation type="list" allowBlank="1" showInputMessage="1" showErrorMessage="1" prompt="Selecione Sim para habilitar o realce de itens para ordenar. Isso aplica uma sinalização na coluna B e realça a linha correspondente na tabela Lista de estoque. Selecionar Não apagará os destaques e a sinalização." sqref="K2" xr:uid="{8DB70E25-9E88-4E40-A949-D4BB40C54579}">
      <formula1>"Sim, Não"</formula1>
    </dataValidation>
    <dataValidation type="list" allowBlank="1" showInputMessage="1" showErrorMessage="1" sqref="K5:K28" xr:uid="{D07455A6-F124-4022-BA15-30163CE8E748}">
      <formula1>"Sim"</formula1>
    </dataValidation>
    <dataValidation allowBlank="1" showInputMessage="1" showErrorMessage="1" prompt="Insira uma descrição do item nesta coluna" sqref="F3" xr:uid="{9844E9B5-2323-444C-95DA-82F2A6648D4F}"/>
    <dataValidation allowBlank="1" showInputMessage="1" showErrorMessage="1" prompt="Insira a quantidade em estoque de cada item nesta coluna" sqref="G3" xr:uid="{FE6CDC7B-62E5-4C8B-97AE-16EC85EE3659}"/>
    <dataValidation allowBlank="1" showInputMessage="1" showErrorMessage="1" prompt="Insira o nível de estoque de cada item nesta coluna" sqref="H3" xr:uid="{5C110772-828F-4964-A895-8A8723CCABDB}"/>
    <dataValidation allowBlank="1" showInputMessage="1" showErrorMessage="1" prompt="Insira quantos dias faltam para realizar nova encomenda de cada item nesta coluna" sqref="I3" xr:uid="{49A7E107-81AF-4F17-AD2C-FA4D4C4B8C41}"/>
    <dataValidation allowBlank="1" showInputMessage="1" showErrorMessage="1" prompt="Insira a quantidade a encomendar de cada item nesta coluna" sqref="J3" xr:uid="{5869B119-08C2-4D28-B27B-6985168169E5}"/>
    <dataValidation allowBlank="1" showInputMessage="1" showErrorMessage="1" prompt="Insira sim se o item tiver sido descontinuado. Ao inserir Sim, a linha correspondente é realçada em cinza claro e o estilo da fonte é alterado para Tachado" sqref="K3" xr:uid="{B7F86C34-CAE8-4DED-A86B-9CF1C36D7C33}"/>
    <dataValidation allowBlank="1" showInputMessage="1" showErrorMessage="1" prompt="Insira a ID de estoque do item nesta coluna" sqref="E3" xr:uid="{F4250A07-ADBF-4EC1-BC20-2224084AC6DF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3:D3" xr:uid="{D060C10C-058A-43E9-B4E7-E4AC81BF404A}"/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2" xr:uid="{BBD66270-237D-4632-8138-FB2CBCD9568C}"/>
  </dataValidations>
  <hyperlinks>
    <hyperlink ref="L20" r:id="rId1" xr:uid="{86D68739-0A02-46C4-A817-1BFB47214CDE}"/>
  </hyperlinks>
  <pageMargins left="0.25" right="0.25" top="0.75" bottom="0.75" header="0.3" footer="0.3"/>
  <pageSetup paperSize="9" scale="56" fitToHeight="0" orientation="portrait" r:id="rId2"/>
  <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BFD27DE-A62E-4F03-B570-D9916E877F50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B4:D28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2598-89A0-4416-8095-DF8BE1ABC2E2}">
  <sheetPr>
    <pageSetUpPr fitToPage="1"/>
  </sheetPr>
  <dimension ref="B1:I30"/>
  <sheetViews>
    <sheetView showGridLines="0" zoomScale="55" zoomScaleNormal="55" workbookViewId="0">
      <selection activeCell="E2" sqref="E2:H2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13.33203125" style="4" customWidth="1"/>
    <col min="6" max="6" width="73.33203125" style="4" bestFit="1" customWidth="1"/>
    <col min="7" max="7" width="14.6640625" style="4" customWidth="1"/>
    <col min="8" max="8" width="12.33203125" style="4" customWidth="1"/>
    <col min="9" max="10" width="8.77734375" style="4"/>
    <col min="11" max="11" width="14" style="4" customWidth="1"/>
    <col min="12" max="12" width="62.77734375" style="4" bestFit="1" customWidth="1"/>
    <col min="13" max="13" width="13.6640625" style="4" customWidth="1"/>
    <col min="14" max="16384" width="8.77734375" style="4"/>
  </cols>
  <sheetData>
    <row r="1" spans="2:8" s="1" customFormat="1" ht="116.25" customHeight="1">
      <c r="B1" s="2"/>
      <c r="C1" s="2"/>
      <c r="D1" s="2"/>
    </row>
    <row r="2" spans="2:8" s="1" customFormat="1" ht="116.25" customHeight="1">
      <c r="B2" s="2"/>
      <c r="C2" s="2"/>
      <c r="D2" s="2"/>
      <c r="E2" s="144" t="s">
        <v>187</v>
      </c>
      <c r="F2" s="144"/>
      <c r="G2" s="144"/>
      <c r="H2" s="144"/>
    </row>
    <row r="3" spans="2:8" ht="23.25" customHeight="1"/>
    <row r="4" spans="2:8" s="3" customFormat="1" ht="50.1" customHeight="1" thickBot="1">
      <c r="B4" s="9" t="s">
        <v>3</v>
      </c>
      <c r="C4" s="9" t="s">
        <v>4</v>
      </c>
      <c r="D4" s="9" t="s">
        <v>5</v>
      </c>
      <c r="E4" s="15" t="s">
        <v>6</v>
      </c>
      <c r="F4" s="16" t="s">
        <v>188</v>
      </c>
      <c r="G4" s="17" t="s">
        <v>115</v>
      </c>
      <c r="H4" s="17" t="s">
        <v>8</v>
      </c>
    </row>
    <row r="5" spans="2:8" ht="24" customHeight="1" thickBot="1">
      <c r="B5" s="3">
        <f>IFERROR((#REF!&lt;=#REF!)*(#REF!="")*RealceValor,0)</f>
        <v>0</v>
      </c>
      <c r="E5" s="28">
        <v>21483</v>
      </c>
      <c r="F5" s="30" t="s">
        <v>158</v>
      </c>
      <c r="G5" s="32" t="s">
        <v>159</v>
      </c>
      <c r="H5" s="20" t="s">
        <v>160</v>
      </c>
    </row>
    <row r="6" spans="2:8" ht="24" customHeight="1" thickBot="1">
      <c r="B6" s="3">
        <f>IFERROR((#REF!&lt;=#REF!)*(#REF!="")*RealceValor,0)</f>
        <v>0</v>
      </c>
      <c r="E6" s="29">
        <v>32438</v>
      </c>
      <c r="F6" s="31" t="s">
        <v>161</v>
      </c>
      <c r="G6" s="42" t="s">
        <v>159</v>
      </c>
      <c r="H6" s="56" t="s">
        <v>160</v>
      </c>
    </row>
    <row r="7" spans="2:8" ht="24" customHeight="1">
      <c r="B7" s="3">
        <f>IFERROR((#REF!&lt;=#REF!)*(#REF!="")*RealceValor,0)</f>
        <v>0</v>
      </c>
      <c r="E7" s="29">
        <v>21811</v>
      </c>
      <c r="F7" s="31" t="s">
        <v>162</v>
      </c>
      <c r="G7" s="32" t="s">
        <v>159</v>
      </c>
      <c r="H7" s="21" t="s">
        <v>160</v>
      </c>
    </row>
    <row r="8" spans="2:8" ht="24" customHeight="1">
      <c r="B8" s="3">
        <f>IFERROR((#REF!&lt;=#REF!)*(#REF!="")*RealceValor,0)</f>
        <v>0</v>
      </c>
      <c r="E8" s="29">
        <v>63316</v>
      </c>
      <c r="F8" s="59" t="s">
        <v>163</v>
      </c>
      <c r="G8" s="33" t="s">
        <v>159</v>
      </c>
      <c r="H8" s="23" t="s">
        <v>160</v>
      </c>
    </row>
    <row r="9" spans="2:8" ht="24" customHeight="1">
      <c r="B9" s="3">
        <f>IFERROR((#REF!&lt;=#REF!)*(#REF!="")*RealceValor,0)</f>
        <v>0</v>
      </c>
      <c r="E9" s="29">
        <v>22594</v>
      </c>
      <c r="F9" s="59" t="s">
        <v>164</v>
      </c>
      <c r="G9" s="33" t="s">
        <v>159</v>
      </c>
      <c r="H9" s="21" t="s">
        <v>160</v>
      </c>
    </row>
    <row r="10" spans="2:8" ht="24" customHeight="1">
      <c r="B10" s="3">
        <f>IFERROR((#REF!&lt;=#REF!)*(#REF!="")*RealceValor,0)</f>
        <v>0</v>
      </c>
      <c r="E10" s="29">
        <v>18221</v>
      </c>
      <c r="F10" s="59" t="s">
        <v>165</v>
      </c>
      <c r="G10" s="33" t="s">
        <v>166</v>
      </c>
      <c r="H10" s="23" t="s">
        <v>160</v>
      </c>
    </row>
    <row r="11" spans="2:8" ht="24" customHeight="1">
      <c r="B11" s="3">
        <f>IFERROR((#REF!&lt;=#REF!)*(#REF!="")*RealceValor,0)</f>
        <v>0</v>
      </c>
      <c r="E11" s="57">
        <v>53270</v>
      </c>
      <c r="F11" s="59" t="s">
        <v>167</v>
      </c>
      <c r="G11" s="33">
        <v>100</v>
      </c>
      <c r="H11" s="21" t="s">
        <v>160</v>
      </c>
    </row>
    <row r="12" spans="2:8" ht="24" customHeight="1">
      <c r="B12" s="3">
        <f>IFERROR((#REF!&lt;=#REF!)*(#REF!="")*RealceValor,0)</f>
        <v>0</v>
      </c>
      <c r="E12" s="29">
        <v>73228</v>
      </c>
      <c r="F12" s="59" t="s">
        <v>168</v>
      </c>
      <c r="G12" s="33" t="s">
        <v>169</v>
      </c>
      <c r="H12" s="23" t="s">
        <v>160</v>
      </c>
    </row>
    <row r="13" spans="2:8" ht="24" customHeight="1">
      <c r="B13" s="3">
        <f>IFERROR((#REF!&lt;=#REF!)*(#REF!="")*RealceValor,0)</f>
        <v>0</v>
      </c>
      <c r="E13" s="29">
        <v>66857</v>
      </c>
      <c r="F13" s="59" t="s">
        <v>170</v>
      </c>
      <c r="G13" s="33" t="s">
        <v>169</v>
      </c>
      <c r="H13" s="21" t="s">
        <v>160</v>
      </c>
    </row>
    <row r="14" spans="2:8" ht="24" customHeight="1">
      <c r="B14" s="3">
        <f>IFERROR((#REF!&lt;=#REF!)*(#REF!="")*RealceValor,0)</f>
        <v>0</v>
      </c>
      <c r="E14" s="29">
        <v>73223</v>
      </c>
      <c r="F14" s="59" t="s">
        <v>172</v>
      </c>
      <c r="G14" s="33" t="s">
        <v>169</v>
      </c>
      <c r="H14" s="23" t="s">
        <v>160</v>
      </c>
    </row>
    <row r="15" spans="2:8" ht="24" customHeight="1">
      <c r="B15" s="3">
        <f>IFERROR((#REF!&lt;=#REF!)*(#REF!="")*RealceValor,0)</f>
        <v>0</v>
      </c>
      <c r="E15" s="29">
        <v>66875</v>
      </c>
      <c r="F15" s="59" t="s">
        <v>173</v>
      </c>
      <c r="G15" s="33" t="s">
        <v>174</v>
      </c>
      <c r="H15" s="21" t="s">
        <v>160</v>
      </c>
    </row>
    <row r="16" spans="2:8" ht="24" customHeight="1">
      <c r="B16" s="3">
        <f>IFERROR((#REF!&lt;=#REF!)*(#REF!="")*RealceValor,0)</f>
        <v>0</v>
      </c>
      <c r="E16" s="29">
        <v>66572</v>
      </c>
      <c r="F16" s="59" t="s">
        <v>175</v>
      </c>
      <c r="G16" s="33" t="s">
        <v>176</v>
      </c>
      <c r="H16" s="23" t="s">
        <v>160</v>
      </c>
    </row>
    <row r="17" spans="2:9" ht="24" customHeight="1">
      <c r="B17" s="3">
        <f>IFERROR((#REF!&lt;=#REF!)*(#REF!="")*RealceValor,0)</f>
        <v>0</v>
      </c>
      <c r="E17" s="29">
        <v>53277</v>
      </c>
      <c r="F17" s="59" t="s">
        <v>177</v>
      </c>
      <c r="G17" s="33" t="s">
        <v>178</v>
      </c>
      <c r="H17" s="21" t="s">
        <v>160</v>
      </c>
    </row>
    <row r="18" spans="2:9" ht="24" customHeight="1">
      <c r="B18" s="3">
        <f>IFERROR((#REF!&lt;=#REF!)*(#REF!="")*RealceValor,0)</f>
        <v>0</v>
      </c>
      <c r="E18" s="29">
        <v>13981</v>
      </c>
      <c r="F18" s="59" t="s">
        <v>179</v>
      </c>
      <c r="G18" s="33" t="s">
        <v>180</v>
      </c>
      <c r="H18" s="23" t="s">
        <v>160</v>
      </c>
    </row>
    <row r="19" spans="2:9" ht="24" customHeight="1">
      <c r="B19" s="3">
        <f>IFERROR((#REF!&lt;=#REF!)*(#REF!="")*RealceValor,0)</f>
        <v>0</v>
      </c>
      <c r="E19" s="29">
        <v>53233</v>
      </c>
      <c r="F19" s="59" t="s">
        <v>71</v>
      </c>
      <c r="G19" s="33" t="s">
        <v>181</v>
      </c>
      <c r="H19" s="21" t="s">
        <v>160</v>
      </c>
    </row>
    <row r="20" spans="2:9" ht="24" customHeight="1" thickBot="1">
      <c r="B20" s="3">
        <f>IFERROR((#REF!&lt;=#REF!)*(#REF!="")*RealceValor,0)</f>
        <v>0</v>
      </c>
      <c r="E20" s="58">
        <v>53317</v>
      </c>
      <c r="F20" s="60" t="s">
        <v>182</v>
      </c>
      <c r="G20" s="34" t="s">
        <v>183</v>
      </c>
      <c r="H20" s="23" t="s">
        <v>160</v>
      </c>
    </row>
    <row r="21" spans="2:9" ht="24" customHeight="1">
      <c r="B21" s="3">
        <f>IFERROR((#REF!&lt;=#REF!)*(#REF!="")*RealceValor,0)</f>
        <v>0</v>
      </c>
      <c r="E21" s="29" t="s">
        <v>184</v>
      </c>
      <c r="F21" s="59" t="s">
        <v>185</v>
      </c>
      <c r="G21" s="33" t="s">
        <v>189</v>
      </c>
      <c r="H21" s="23" t="s">
        <v>160</v>
      </c>
      <c r="I21" s="65" t="s">
        <v>186</v>
      </c>
    </row>
    <row r="22" spans="2:9" ht="24" customHeight="1">
      <c r="B22" s="3">
        <f>IFERROR((#REF!&lt;=#REF!)*(#REF!="")*RealceValor,0)</f>
        <v>0</v>
      </c>
      <c r="E22" s="22"/>
      <c r="F22" s="22"/>
      <c r="G22" s="23"/>
      <c r="H22" s="23"/>
    </row>
    <row r="23" spans="2:9" ht="24" customHeight="1">
      <c r="B23" s="3">
        <f>IFERROR((#REF!&lt;=#REF!)*(#REF!="")*RealceValor,0)</f>
        <v>0</v>
      </c>
      <c r="E23" s="19"/>
      <c r="F23" s="19"/>
      <c r="G23" s="21"/>
      <c r="H23" s="21"/>
    </row>
    <row r="24" spans="2:9" ht="24" customHeight="1">
      <c r="B24" s="3">
        <f>IFERROR((#REF!&lt;=#REF!)*(#REF!="")*RealceValor,0)</f>
        <v>0</v>
      </c>
      <c r="E24" s="22"/>
      <c r="F24" s="22"/>
      <c r="G24" s="23"/>
      <c r="H24" s="23"/>
    </row>
    <row r="25" spans="2:9" ht="24" customHeight="1">
      <c r="B25" s="3">
        <f>IFERROR((#REF!&lt;=#REF!)*(#REF!="")*RealceValor,0)</f>
        <v>0</v>
      </c>
      <c r="E25" s="19"/>
      <c r="F25" s="19"/>
      <c r="G25" s="21"/>
      <c r="H25" s="21"/>
    </row>
    <row r="26" spans="2:9" ht="24" customHeight="1">
      <c r="B26" s="3">
        <f>IFERROR((#REF!&lt;=#REF!)*(#REF!="")*RealceValor,0)</f>
        <v>0</v>
      </c>
      <c r="E26" s="22"/>
      <c r="F26" s="22"/>
      <c r="G26" s="23"/>
      <c r="H26" s="23"/>
    </row>
    <row r="27" spans="2:9" ht="24" customHeight="1">
      <c r="B27" s="3">
        <f>IFERROR((#REF!&lt;=#REF!)*(#REF!="")*RealceValor,0)</f>
        <v>0</v>
      </c>
      <c r="E27" s="19"/>
      <c r="F27" s="19"/>
      <c r="G27" s="21"/>
      <c r="H27" s="21"/>
    </row>
    <row r="28" spans="2:9" ht="24" customHeight="1">
      <c r="B28" s="3">
        <f>IFERROR((#REF!&lt;=#REF!)*(#REF!="")*RealceValor,0)</f>
        <v>0</v>
      </c>
      <c r="E28" s="22"/>
      <c r="F28" s="22"/>
      <c r="G28" s="23"/>
      <c r="H28" s="23"/>
    </row>
    <row r="29" spans="2:9" ht="24" customHeight="1" thickBot="1">
      <c r="B29" s="3">
        <f>IFERROR((#REF!&lt;=#REF!)*(#REF!="")*RealceValor,0)</f>
        <v>0</v>
      </c>
      <c r="E29" s="54"/>
      <c r="F29" s="54"/>
      <c r="G29" s="55"/>
      <c r="H29" s="55"/>
    </row>
    <row r="30" spans="2:9" ht="24" customHeight="1" thickTop="1"/>
  </sheetData>
  <mergeCells count="1">
    <mergeCell ref="E2:H2"/>
  </mergeCells>
  <conditionalFormatting sqref="B5:H29">
    <cfRule type="expression" dxfId="105" priority="5">
      <formula>#REF!="Sim"</formula>
    </cfRule>
    <cfRule type="expression" dxfId="104" priority="6">
      <formula>$B5=1</formula>
    </cfRule>
  </conditionalFormatting>
  <conditionalFormatting sqref="E21:G21">
    <cfRule type="expression" dxfId="103" priority="12">
      <formula>#REF!="Sim"</formula>
    </cfRule>
    <cfRule type="expression" dxfId="102" priority="13">
      <formula>$B12=1</formula>
    </cfRule>
  </conditionalFormatting>
  <dataValidations count="7"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A0483D1C-1F86-441B-9009-FA973F740A64}"/>
    <dataValidation allowBlank="1" showInputMessage="1" showErrorMessage="1" prompt="Insira uma descrição do item nesta coluna" sqref="F4" xr:uid="{998CE133-E625-4F72-ADDE-7110CB565E29}"/>
    <dataValidation allowBlank="1" showInputMessage="1" showErrorMessage="1" prompt="Insira a quantidade em estoque de cada item nesta coluna" sqref="G4" xr:uid="{19EF2EB6-4AF5-49D3-B1B3-549874A0D7C3}"/>
    <dataValidation allowBlank="1" showInputMessage="1" showErrorMessage="1" prompt="Insira o nível de estoque de cada item nesta coluna" sqref="H4" xr:uid="{B18F8252-4975-4E79-9B89-DAB68BB34B54}"/>
    <dataValidation allowBlank="1" showInputMessage="1" showErrorMessage="1" prompt="Insira a ID de estoque do item nesta coluna" sqref="E4" xr:uid="{DB78FC27-285C-46D1-8B7A-69AA3C0A34F8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7D2E5FD7-69AB-4690-916E-73B18ADD9AF6}"/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D50F18E9-545F-497D-BFC5-F7590A486AEB}"/>
  </dataValidations>
  <hyperlinks>
    <hyperlink ref="I21" r:id="rId1" xr:uid="{82A40F59-CB78-4BD1-8663-6990093E1781}"/>
  </hyperlinks>
  <pageMargins left="0.25" right="0.25" top="0.75" bottom="0.75" header="0.3" footer="0.3"/>
  <pageSetup paperSize="9" scale="56" fitToHeight="0" orientation="portrait" r:id="rId2"/>
  <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9278AA2B-F390-4059-B75A-FB993316BB7A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B5:D29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E345-FFB0-4C1A-8227-95FDF112C577}">
  <sheetPr>
    <pageSetUpPr fitToPage="1"/>
  </sheetPr>
  <dimension ref="B1:M30"/>
  <sheetViews>
    <sheetView showGridLines="0" zoomScale="55" zoomScaleNormal="55" workbookViewId="0">
      <selection activeCell="H2" sqref="H2:M2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0.21875" style="8" hidden="1" customWidth="1"/>
    <col min="6" max="6" width="0.109375" style="8" hidden="1" customWidth="1"/>
    <col min="7" max="7" width="18.88671875" style="6" hidden="1" customWidth="1"/>
    <col min="8" max="8" width="12.88671875" style="4" customWidth="1"/>
    <col min="9" max="9" width="73.33203125" style="4" bestFit="1" customWidth="1"/>
    <col min="10" max="10" width="14.44140625" style="4" customWidth="1"/>
    <col min="11" max="11" width="13.77734375" style="4" customWidth="1"/>
    <col min="12" max="12" width="8.77734375" style="4"/>
    <col min="13" max="13" width="14" style="4" customWidth="1"/>
    <col min="14" max="14" width="62.77734375" style="4" bestFit="1" customWidth="1"/>
    <col min="15" max="15" width="13.6640625" style="4" customWidth="1"/>
    <col min="16" max="16384" width="8.77734375" style="4"/>
  </cols>
  <sheetData>
    <row r="1" spans="2:13" s="1" customFormat="1" ht="116.25" customHeight="1">
      <c r="B1" s="2"/>
      <c r="C1" s="2"/>
      <c r="D1" s="2"/>
      <c r="E1" s="7"/>
    </row>
    <row r="2" spans="2:13" s="1" customFormat="1" ht="116.25" customHeight="1">
      <c r="B2" s="2"/>
      <c r="C2" s="2"/>
      <c r="D2" s="2"/>
      <c r="E2" s="7"/>
      <c r="H2" s="146" t="s">
        <v>190</v>
      </c>
      <c r="I2" s="146"/>
      <c r="J2" s="146"/>
      <c r="K2" s="146"/>
      <c r="L2" s="146"/>
      <c r="M2" s="146"/>
    </row>
    <row r="3" spans="2:13" ht="23.25" customHeight="1">
      <c r="E3" s="11"/>
      <c r="F3" s="12" t="s">
        <v>142</v>
      </c>
      <c r="G3" s="13" t="s">
        <v>143</v>
      </c>
    </row>
    <row r="4" spans="2:13" s="3" customFormat="1" ht="50.1" customHeight="1" thickBot="1">
      <c r="B4" s="9" t="s">
        <v>3</v>
      </c>
      <c r="C4" s="9" t="s">
        <v>4</v>
      </c>
      <c r="D4" s="9" t="s">
        <v>5</v>
      </c>
      <c r="E4" s="9" t="s">
        <v>117</v>
      </c>
      <c r="F4" s="9" t="s">
        <v>118</v>
      </c>
      <c r="G4" s="9" t="s">
        <v>116</v>
      </c>
      <c r="H4" s="15" t="s">
        <v>6</v>
      </c>
      <c r="I4" s="16" t="s">
        <v>191</v>
      </c>
      <c r="J4" s="17" t="s">
        <v>115</v>
      </c>
      <c r="K4" s="17" t="s">
        <v>8</v>
      </c>
    </row>
    <row r="5" spans="2:13" ht="24" customHeight="1">
      <c r="B5" s="3">
        <f>IFERROR((#REF!&lt;=#REF!)*(Inventory_List_Table12[[#This Row],[Dimensão ]]="")*RealceValor,0)</f>
        <v>0</v>
      </c>
      <c r="E5" s="126"/>
      <c r="F5" s="8">
        <v>50</v>
      </c>
      <c r="H5" s="28">
        <v>48212</v>
      </c>
      <c r="I5" s="30" t="s">
        <v>192</v>
      </c>
      <c r="J5" s="32">
        <v>300</v>
      </c>
      <c r="K5" s="20" t="s">
        <v>160</v>
      </c>
    </row>
    <row r="6" spans="2:13" ht="24" customHeight="1">
      <c r="B6" s="3">
        <f>IFERROR((#REF!&lt;=#REF!)*(Inventory_List_Table12[[#This Row],[Dimensão ]]="")*RealceValor,0)</f>
        <v>0</v>
      </c>
      <c r="F6" s="8">
        <v>50</v>
      </c>
      <c r="H6" s="29">
        <v>48343</v>
      </c>
      <c r="I6" s="59" t="s">
        <v>193</v>
      </c>
      <c r="J6" s="33">
        <v>300</v>
      </c>
      <c r="K6" s="56" t="s">
        <v>160</v>
      </c>
    </row>
    <row r="7" spans="2:13" ht="24" customHeight="1">
      <c r="B7" s="3">
        <f>IFERROR((#REF!&lt;=#REF!)*(Inventory_List_Table12[[#This Row],[Dimensão ]]="")*RealceValor,0)</f>
        <v>0</v>
      </c>
      <c r="F7" s="8">
        <v>150</v>
      </c>
      <c r="H7" s="29">
        <v>76473</v>
      </c>
      <c r="I7" s="31" t="s">
        <v>194</v>
      </c>
      <c r="J7" s="33" t="s">
        <v>195</v>
      </c>
      <c r="K7" s="21" t="s">
        <v>160</v>
      </c>
    </row>
    <row r="8" spans="2:13" ht="24" customHeight="1">
      <c r="B8" s="3">
        <f>IFERROR((#REF!&lt;=#REF!)*(Inventory_List_Table12[[#This Row],[Dimensão ]]="")*RealceValor,0)</f>
        <v>0</v>
      </c>
      <c r="F8" s="8">
        <v>50</v>
      </c>
      <c r="H8" s="29">
        <v>98768</v>
      </c>
      <c r="I8" s="59" t="s">
        <v>196</v>
      </c>
      <c r="J8" s="33" t="s">
        <v>197</v>
      </c>
      <c r="K8" s="23" t="s">
        <v>160</v>
      </c>
    </row>
    <row r="9" spans="2:13" ht="24" customHeight="1">
      <c r="B9" s="3">
        <f>IFERROR((#REF!&lt;=#REF!)*(Inventory_List_Table12[[#This Row],[Dimensão ]]="")*RealceValor,0)</f>
        <v>0</v>
      </c>
      <c r="F9" s="8">
        <v>50</v>
      </c>
      <c r="H9" s="29">
        <v>98769</v>
      </c>
      <c r="I9" s="59" t="s">
        <v>198</v>
      </c>
      <c r="J9" s="33" t="s">
        <v>197</v>
      </c>
      <c r="K9" s="21" t="s">
        <v>160</v>
      </c>
    </row>
    <row r="10" spans="2:13" ht="24" customHeight="1">
      <c r="B10" s="3">
        <f>IFERROR((#REF!&lt;=#REF!)*(Inventory_List_Table12[[#This Row],[Dimensão ]]="")*RealceValor,0)</f>
        <v>0</v>
      </c>
      <c r="F10" s="8">
        <v>150</v>
      </c>
      <c r="H10" s="29">
        <v>52091</v>
      </c>
      <c r="I10" s="59" t="s">
        <v>199</v>
      </c>
      <c r="J10" s="33" t="s">
        <v>200</v>
      </c>
      <c r="K10" s="23" t="s">
        <v>160</v>
      </c>
    </row>
    <row r="11" spans="2:13" ht="24" customHeight="1">
      <c r="B11" s="3">
        <f>IFERROR((#REF!&lt;=#REF!)*(Inventory_List_Table12[[#This Row],[Dimensão ]]="")*RealceValor,0)</f>
        <v>0</v>
      </c>
      <c r="F11" s="8">
        <v>100</v>
      </c>
      <c r="H11" s="29">
        <v>98770</v>
      </c>
      <c r="I11" s="59" t="s">
        <v>201</v>
      </c>
      <c r="J11" s="33" t="s">
        <v>202</v>
      </c>
      <c r="K11" s="21" t="s">
        <v>160</v>
      </c>
    </row>
    <row r="12" spans="2:13" ht="24" customHeight="1">
      <c r="B12" s="3">
        <f>IFERROR((#REF!&lt;=#REF!)*(Inventory_List_Table12[[#This Row],[Dimensão ]]="")*RealceValor,0)</f>
        <v>0</v>
      </c>
      <c r="F12" s="8">
        <v>100</v>
      </c>
      <c r="H12" s="57">
        <v>53274</v>
      </c>
      <c r="I12" s="59" t="s">
        <v>203</v>
      </c>
      <c r="J12" s="33" t="s">
        <v>204</v>
      </c>
      <c r="K12" s="23" t="s">
        <v>160</v>
      </c>
    </row>
    <row r="13" spans="2:13" ht="24" customHeight="1">
      <c r="B13" s="3">
        <f>IFERROR((#REF!&lt;=#REF!)*(Inventory_List_Table12[[#This Row],[Dimensão ]]="")*RealceValor,0)</f>
        <v>0</v>
      </c>
      <c r="F13" s="8">
        <v>150</v>
      </c>
      <c r="H13" s="29">
        <v>25887</v>
      </c>
      <c r="I13" s="59" t="s">
        <v>205</v>
      </c>
      <c r="J13" s="33" t="s">
        <v>204</v>
      </c>
      <c r="K13" s="23" t="s">
        <v>160</v>
      </c>
    </row>
    <row r="14" spans="2:13" ht="24" customHeight="1">
      <c r="B14" s="3">
        <f>IFERROR((#REF!&lt;=#REF!)*(Inventory_List_Table12[[#This Row],[Dimensão ]]="")*RealceValor,0)</f>
        <v>0</v>
      </c>
      <c r="F14" s="8">
        <v>150</v>
      </c>
      <c r="H14" s="29">
        <v>62027</v>
      </c>
      <c r="I14" s="59" t="s">
        <v>206</v>
      </c>
      <c r="J14" s="33" t="s">
        <v>204</v>
      </c>
      <c r="K14" s="21" t="s">
        <v>160</v>
      </c>
    </row>
    <row r="15" spans="2:13" ht="24" customHeight="1">
      <c r="B15" s="3">
        <f>IFERROR((#REF!&lt;=#REF!)*(Inventory_List_Table12[[#This Row],[Dimensão ]]="")*RealceValor,0)</f>
        <v>0</v>
      </c>
      <c r="F15" s="8">
        <v>50</v>
      </c>
      <c r="H15" s="29">
        <v>15009</v>
      </c>
      <c r="I15" s="31" t="s">
        <v>207</v>
      </c>
      <c r="J15" s="33" t="s">
        <v>208</v>
      </c>
      <c r="K15" s="21" t="s">
        <v>160</v>
      </c>
    </row>
    <row r="16" spans="2:13" ht="24" customHeight="1">
      <c r="B16" s="3">
        <f>IFERROR((#REF!&lt;=#REF!)*(Inventory_List_Table12[[#This Row],[Dimensão ]]="")*RealceValor,0)</f>
        <v>0</v>
      </c>
      <c r="F16" s="8">
        <v>100</v>
      </c>
      <c r="H16" s="29">
        <v>110518</v>
      </c>
      <c r="I16" s="31" t="s">
        <v>209</v>
      </c>
      <c r="J16" s="33" t="s">
        <v>189</v>
      </c>
      <c r="K16" s="23" t="s">
        <v>160</v>
      </c>
    </row>
    <row r="17" spans="2:12" ht="24" customHeight="1">
      <c r="B17" s="3">
        <f>IFERROR((#REF!&lt;=#REF!)*(Inventory_List_Table12[[#This Row],[Dimensão ]]="")*RealceValor,0)</f>
        <v>0</v>
      </c>
      <c r="F17" s="8">
        <v>100</v>
      </c>
      <c r="H17" s="29">
        <v>53233</v>
      </c>
      <c r="I17" s="59" t="s">
        <v>71</v>
      </c>
      <c r="J17" s="33" t="s">
        <v>181</v>
      </c>
      <c r="K17" s="21" t="s">
        <v>160</v>
      </c>
    </row>
    <row r="18" spans="2:12" ht="24" customHeight="1">
      <c r="B18" s="3">
        <f>IFERROR((#REF!&lt;=#REF!)*(Inventory_List_Table12[[#This Row],[Dimensão ]]="")*RealceValor,0)</f>
        <v>0</v>
      </c>
      <c r="F18" s="8">
        <v>50</v>
      </c>
      <c r="H18" s="29">
        <v>66572</v>
      </c>
      <c r="I18" s="59" t="s">
        <v>175</v>
      </c>
      <c r="J18" s="33" t="s">
        <v>176</v>
      </c>
      <c r="K18" s="23" t="s">
        <v>160</v>
      </c>
    </row>
    <row r="19" spans="2:12" ht="24" customHeight="1">
      <c r="B19" s="3">
        <f>IFERROR((#REF!&lt;=#REF!)*(Inventory_List_Table12[[#This Row],[Dimensão ]]="")*RealceValor,0)</f>
        <v>0</v>
      </c>
      <c r="F19" s="8">
        <v>50</v>
      </c>
      <c r="H19" s="29">
        <v>28820</v>
      </c>
      <c r="I19" s="59" t="s">
        <v>210</v>
      </c>
      <c r="J19" s="33" t="s">
        <v>176</v>
      </c>
      <c r="K19" s="23" t="s">
        <v>160</v>
      </c>
    </row>
    <row r="20" spans="2:12" ht="24" customHeight="1">
      <c r="B20" s="3">
        <f>IFERROR((#REF!&lt;=#REF!)*(Inventory_List_Table12[[#This Row],[Dimensão ]]="")*RealceValor,0)</f>
        <v>0</v>
      </c>
      <c r="F20" s="8">
        <v>50</v>
      </c>
      <c r="G20" s="6" t="s">
        <v>143</v>
      </c>
      <c r="H20" s="29">
        <v>53239</v>
      </c>
      <c r="I20" s="59" t="s">
        <v>211</v>
      </c>
      <c r="J20" s="33" t="s">
        <v>176</v>
      </c>
      <c r="K20" s="23" t="s">
        <v>160</v>
      </c>
    </row>
    <row r="21" spans="2:12" ht="24" customHeight="1">
      <c r="B21" s="3">
        <f>IFERROR((#REF!&lt;=#REF!)*(Inventory_List_Table12[[#This Row],[Dimensão ]]="")*RealceValor,0)</f>
        <v>0</v>
      </c>
      <c r="F21" s="8">
        <v>50</v>
      </c>
      <c r="H21" s="29">
        <v>53270</v>
      </c>
      <c r="I21" s="59" t="s">
        <v>212</v>
      </c>
      <c r="J21" s="33" t="s">
        <v>213</v>
      </c>
      <c r="K21" s="23" t="s">
        <v>160</v>
      </c>
    </row>
    <row r="22" spans="2:12" ht="24" customHeight="1">
      <c r="B22" s="3">
        <f>IFERROR((#REF!&lt;=#REF!)*(Inventory_List_Table12[[#This Row],[Dimensão ]]="")*RealceValor,0)</f>
        <v>0</v>
      </c>
      <c r="F22" s="8">
        <v>150</v>
      </c>
      <c r="H22" s="29">
        <v>53264</v>
      </c>
      <c r="I22" s="59" t="s">
        <v>214</v>
      </c>
      <c r="J22" s="33" t="s">
        <v>215</v>
      </c>
      <c r="K22" s="23" t="s">
        <v>160</v>
      </c>
    </row>
    <row r="23" spans="2:12" ht="24" customHeight="1">
      <c r="B23" s="3">
        <f>IFERROR((#REF!&lt;=#REF!)*(Inventory_List_Table12[[#This Row],[Dimensão ]]="")*RealceValor,0)</f>
        <v>0</v>
      </c>
      <c r="F23" s="8">
        <v>50</v>
      </c>
      <c r="H23" s="29">
        <v>74863</v>
      </c>
      <c r="I23" s="59" t="s">
        <v>216</v>
      </c>
      <c r="J23" s="33" t="s">
        <v>217</v>
      </c>
      <c r="K23" s="23" t="s">
        <v>160</v>
      </c>
    </row>
    <row r="24" spans="2:12" ht="24" customHeight="1">
      <c r="B24" s="3">
        <f>IFERROR((#REF!&lt;=#REF!)*(Inventory_List_Table12[[#This Row],[Dimensão ]]="")*RealceValor,0)</f>
        <v>0</v>
      </c>
      <c r="F24" s="8">
        <v>50</v>
      </c>
      <c r="H24" s="29">
        <v>27695</v>
      </c>
      <c r="I24" s="59" t="s">
        <v>218</v>
      </c>
      <c r="J24" s="33" t="s">
        <v>219</v>
      </c>
      <c r="K24" s="23" t="s">
        <v>160</v>
      </c>
    </row>
    <row r="25" spans="2:12" ht="24" customHeight="1">
      <c r="B25" s="3">
        <f>IFERROR((#REF!&lt;=#REF!)*(Inventory_List_Table12[[#This Row],[Dimensão ]]="")*RealceValor,0)</f>
        <v>0</v>
      </c>
      <c r="F25" s="8">
        <v>150</v>
      </c>
      <c r="H25" s="29">
        <v>96283</v>
      </c>
      <c r="I25" s="59" t="s">
        <v>220</v>
      </c>
      <c r="J25" s="33" t="s">
        <v>217</v>
      </c>
      <c r="K25" s="23" t="s">
        <v>160</v>
      </c>
    </row>
    <row r="26" spans="2:12" ht="24" customHeight="1">
      <c r="B26" s="3">
        <f>IFERROR((#REF!&lt;=#REF!)*(Inventory_List_Table12[[#This Row],[Dimensão ]]="")*RealceValor,0)</f>
        <v>0</v>
      </c>
      <c r="F26" s="8">
        <v>150</v>
      </c>
      <c r="G26" s="6" t="s">
        <v>143</v>
      </c>
      <c r="H26" s="29" t="s">
        <v>184</v>
      </c>
      <c r="I26" s="59" t="s">
        <v>221</v>
      </c>
      <c r="J26" s="33" t="s">
        <v>222</v>
      </c>
      <c r="K26" s="23" t="s">
        <v>160</v>
      </c>
      <c r="L26" s="4" t="s">
        <v>223</v>
      </c>
    </row>
    <row r="27" spans="2:12" ht="24" customHeight="1">
      <c r="B27" s="3">
        <f>IFERROR((#REF!&lt;=#REF!)*(Inventory_List_Table12[[#This Row],[Dimensão ]]="")*RealceValor,0)</f>
        <v>0</v>
      </c>
      <c r="F27" s="8">
        <v>100</v>
      </c>
      <c r="H27" s="29">
        <v>99165</v>
      </c>
      <c r="I27" s="59" t="s">
        <v>224</v>
      </c>
      <c r="J27" s="33" t="s">
        <v>204</v>
      </c>
      <c r="K27" s="23" t="s">
        <v>160</v>
      </c>
    </row>
    <row r="28" spans="2:12" ht="24" customHeight="1">
      <c r="B28" s="3">
        <f>IFERROR((#REF!&lt;=#REF!)*(Inventory_List_Table12[[#This Row],[Dimensão ]]="")*RealceValor,0)</f>
        <v>0</v>
      </c>
      <c r="F28" s="8">
        <v>50</v>
      </c>
      <c r="H28" s="29">
        <v>19348</v>
      </c>
      <c r="I28" s="59" t="s">
        <v>225</v>
      </c>
      <c r="J28" s="33" t="s">
        <v>219</v>
      </c>
      <c r="K28" s="23" t="s">
        <v>160</v>
      </c>
    </row>
    <row r="29" spans="2:12" ht="24" customHeight="1">
      <c r="H29" s="29">
        <v>27666</v>
      </c>
      <c r="I29" s="59" t="s">
        <v>226</v>
      </c>
      <c r="J29" s="33" t="s">
        <v>227</v>
      </c>
      <c r="K29" s="23" t="s">
        <v>160</v>
      </c>
    </row>
    <row r="30" spans="2:12" ht="24" customHeight="1">
      <c r="H30" s="29">
        <v>27970</v>
      </c>
      <c r="I30" s="59" t="s">
        <v>228</v>
      </c>
      <c r="J30" s="33">
        <v>12</v>
      </c>
      <c r="K30" s="23" t="s">
        <v>160</v>
      </c>
    </row>
  </sheetData>
  <mergeCells count="1">
    <mergeCell ref="H2:M2"/>
  </mergeCells>
  <conditionalFormatting sqref="H5:K12 B5:G28">
    <cfRule type="expression" dxfId="93" priority="3">
      <formula>$G5="Sim"</formula>
    </cfRule>
    <cfRule type="expression" dxfId="92" priority="4">
      <formula>$B5=1</formula>
    </cfRule>
  </conditionalFormatting>
  <conditionalFormatting sqref="H13:K13 H15:K30">
    <cfRule type="expression" dxfId="91" priority="1">
      <formula>$G14="Sim"</formula>
    </cfRule>
    <cfRule type="expression" dxfId="90" priority="2">
      <formula>$B14=1</formula>
    </cfRule>
  </conditionalFormatting>
  <conditionalFormatting sqref="H14:K14">
    <cfRule type="expression" dxfId="89" priority="5">
      <formula>#REF!="Sim"</formula>
    </cfRule>
    <cfRule type="expression" dxfId="88" priority="6">
      <formula>#REF!=1</formula>
    </cfRule>
  </conditionalFormatting>
  <dataValidations count="13">
    <dataValidation type="list" allowBlank="1" showInputMessage="1" showErrorMessage="1" sqref="G6:G28" xr:uid="{666C0BB4-6F11-4D27-A18F-108C80F95ECD}">
      <formula1>"Sim"</formula1>
    </dataValidation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CCE4925B-5659-4618-B4F8-8A85DFCBD979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517E3EC2-2331-464A-929D-CE4CBE4C9BD8}"/>
    <dataValidation allowBlank="1" showInputMessage="1" showErrorMessage="1" prompt="Insira a ID de estoque do item nesta coluna" sqref="H4" xr:uid="{1F745E04-B65C-476A-87F5-FFDCF214C352}"/>
    <dataValidation allowBlank="1" showInputMessage="1" showErrorMessage="1" prompt="Insira sim se o item tiver sido descontinuado. Ao inserir Sim, a linha correspondente é realçada em cinza claro e o estilo da fonte é alterado para Tachado" sqref="G4" xr:uid="{FCAABDA5-9B20-4B21-83A6-798847AEC35D}"/>
    <dataValidation allowBlank="1" showInputMessage="1" showErrorMessage="1" prompt="Insira a quantidade a encomendar de cada item nesta coluna" sqref="F4" xr:uid="{0F2B2462-7D6F-428F-8AFC-5901DFDA1A30}"/>
    <dataValidation allowBlank="1" showInputMessage="1" showErrorMessage="1" prompt="Insira quantos dias faltam para realizar nova encomenda de cada item nesta coluna" sqref="E4" xr:uid="{72339073-117A-4CB0-A32C-1B8AE6B9A443}"/>
    <dataValidation allowBlank="1" showInputMessage="1" showErrorMessage="1" prompt="Insira o nível de estoque de cada item nesta coluna" sqref="K4" xr:uid="{1785B544-04CD-48FB-9E60-EB3EF1C381CF}"/>
    <dataValidation allowBlank="1" showInputMessage="1" showErrorMessage="1" prompt="Insira a quantidade em estoque de cada item nesta coluna" sqref="J4" xr:uid="{A443D1B2-3490-4D09-892A-C39D56C8C905}"/>
    <dataValidation allowBlank="1" showInputMessage="1" showErrorMessage="1" prompt="Insira uma descrição do item nesta coluna" sqref="I4" xr:uid="{30E648E4-6A0C-4039-8070-EBF70C043F7A}"/>
    <dataValidation type="list" allowBlank="1" showInputMessage="1" showErrorMessage="1" prompt="Selecione Sim para habilitar o realce de itens para ordenar. Isso aplica uma sinalização na coluna B e realça a linha correspondente na tabela Lista de estoque. Selecionar Não apagará os destaques e a sinalização." sqref="G3" xr:uid="{6A131806-0EFD-4EDC-A792-DEE5CD4D8AA6}">
      <formula1>"Sim, Não"</formula1>
    </dataValidation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6BECC46A-1D16-46B5-8164-80CDAB237BE8}"/>
    <dataValidation type="list" allowBlank="1" showInputMessage="1" showErrorMessage="1" sqref="G5" xr:uid="{C60F0E69-DD5D-4CCF-93EB-11020C3D26BB}">
      <formula1>"Não"</formula1>
    </dataValidation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BDA2E7AF-EED6-4221-8E16-C411BFB91FEC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B5:D28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E07E-9D85-48B8-8AFF-83323D84821E}">
  <dimension ref="D5:J34"/>
  <sheetViews>
    <sheetView workbookViewId="0">
      <selection activeCell="K8" sqref="K8"/>
    </sheetView>
  </sheetViews>
  <sheetFormatPr defaultRowHeight="15.75"/>
  <cols>
    <col min="4" max="4" width="11.5546875" customWidth="1"/>
    <col min="5" max="5" width="50" customWidth="1"/>
    <col min="6" max="6" width="11.33203125" style="141" customWidth="1"/>
  </cols>
  <sheetData>
    <row r="5" spans="4:10" ht="48">
      <c r="E5" s="147" t="s">
        <v>229</v>
      </c>
      <c r="F5" s="146"/>
      <c r="G5" s="146"/>
      <c r="H5" s="146"/>
      <c r="I5" s="146"/>
      <c r="J5" s="146"/>
    </row>
    <row r="8" spans="4:10" ht="32.25" thickBot="1">
      <c r="D8" s="15" t="s">
        <v>6</v>
      </c>
      <c r="E8" s="16" t="s">
        <v>230</v>
      </c>
      <c r="F8" s="137" t="s">
        <v>115</v>
      </c>
      <c r="G8" s="17" t="s">
        <v>8</v>
      </c>
    </row>
    <row r="9" spans="4:10">
      <c r="D9" s="28">
        <v>48212</v>
      </c>
      <c r="E9" s="30" t="s">
        <v>192</v>
      </c>
      <c r="F9" s="138">
        <v>300</v>
      </c>
      <c r="G9" s="20" t="s">
        <v>160</v>
      </c>
    </row>
    <row r="10" spans="4:10">
      <c r="D10" s="29">
        <v>48343</v>
      </c>
      <c r="E10" s="59" t="s">
        <v>193</v>
      </c>
      <c r="F10" s="139">
        <v>300</v>
      </c>
      <c r="G10" s="56" t="s">
        <v>160</v>
      </c>
    </row>
    <row r="11" spans="4:10">
      <c r="D11" s="29">
        <v>76473</v>
      </c>
      <c r="E11" s="31" t="s">
        <v>194</v>
      </c>
      <c r="F11" s="139" t="s">
        <v>195</v>
      </c>
      <c r="G11" s="21" t="s">
        <v>160</v>
      </c>
    </row>
    <row r="12" spans="4:10">
      <c r="D12" s="29">
        <v>98768</v>
      </c>
      <c r="E12" s="59" t="s">
        <v>196</v>
      </c>
      <c r="F12" s="139" t="s">
        <v>227</v>
      </c>
      <c r="G12" s="23" t="s">
        <v>160</v>
      </c>
    </row>
    <row r="13" spans="4:10">
      <c r="D13" s="29">
        <v>98769</v>
      </c>
      <c r="E13" s="59" t="s">
        <v>198</v>
      </c>
      <c r="F13" s="139" t="s">
        <v>227</v>
      </c>
      <c r="G13" s="21" t="s">
        <v>160</v>
      </c>
    </row>
    <row r="14" spans="4:10">
      <c r="D14" s="29">
        <v>98770</v>
      </c>
      <c r="E14" s="59" t="s">
        <v>201</v>
      </c>
      <c r="F14" s="139" t="s">
        <v>227</v>
      </c>
      <c r="G14" s="23" t="s">
        <v>160</v>
      </c>
    </row>
    <row r="15" spans="4:10">
      <c r="D15" s="57">
        <v>53274</v>
      </c>
      <c r="E15" s="59" t="s">
        <v>203</v>
      </c>
      <c r="F15" s="139" t="s">
        <v>204</v>
      </c>
      <c r="G15" s="21" t="s">
        <v>160</v>
      </c>
    </row>
    <row r="16" spans="4:10">
      <c r="D16" s="29">
        <v>25887</v>
      </c>
      <c r="E16" s="59" t="s">
        <v>205</v>
      </c>
      <c r="F16" s="139" t="s">
        <v>204</v>
      </c>
      <c r="G16" s="21" t="s">
        <v>160</v>
      </c>
    </row>
    <row r="17" spans="4:7">
      <c r="D17" s="29">
        <v>62027</v>
      </c>
      <c r="E17" s="59" t="s">
        <v>206</v>
      </c>
      <c r="F17" s="139" t="s">
        <v>204</v>
      </c>
      <c r="G17" s="23" t="s">
        <v>160</v>
      </c>
    </row>
    <row r="18" spans="4:7">
      <c r="D18" s="29">
        <v>78904</v>
      </c>
      <c r="E18" s="59" t="s">
        <v>231</v>
      </c>
      <c r="F18" s="139" t="s">
        <v>208</v>
      </c>
      <c r="G18" s="21" t="s">
        <v>160</v>
      </c>
    </row>
    <row r="19" spans="4:7">
      <c r="D19" s="29">
        <v>15009</v>
      </c>
      <c r="E19" s="31" t="s">
        <v>207</v>
      </c>
      <c r="F19" s="139" t="s">
        <v>208</v>
      </c>
      <c r="G19" s="23" t="s">
        <v>160</v>
      </c>
    </row>
    <row r="20" spans="4:7">
      <c r="D20" s="29" t="s">
        <v>184</v>
      </c>
      <c r="E20" s="59" t="s">
        <v>232</v>
      </c>
      <c r="F20" s="139" t="s">
        <v>189</v>
      </c>
      <c r="G20" s="21" t="s">
        <v>160</v>
      </c>
    </row>
    <row r="21" spans="4:7">
      <c r="D21" s="29">
        <v>53233</v>
      </c>
      <c r="E21" s="59" t="s">
        <v>71</v>
      </c>
      <c r="F21" s="139" t="s">
        <v>181</v>
      </c>
      <c r="G21" s="23" t="s">
        <v>160</v>
      </c>
    </row>
    <row r="22" spans="4:7">
      <c r="D22" s="29">
        <v>66572</v>
      </c>
      <c r="E22" s="59" t="s">
        <v>175</v>
      </c>
      <c r="F22" s="139" t="s">
        <v>176</v>
      </c>
      <c r="G22" s="21" t="s">
        <v>160</v>
      </c>
    </row>
    <row r="23" spans="4:7">
      <c r="D23" s="29">
        <v>28820</v>
      </c>
      <c r="E23" s="59" t="s">
        <v>210</v>
      </c>
      <c r="F23" s="139" t="s">
        <v>176</v>
      </c>
      <c r="G23" s="23" t="s">
        <v>160</v>
      </c>
    </row>
    <row r="24" spans="4:7">
      <c r="D24" s="29"/>
      <c r="E24" s="59"/>
      <c r="F24" s="139"/>
      <c r="G24" s="23" t="s">
        <v>160</v>
      </c>
    </row>
    <row r="25" spans="4:7">
      <c r="D25" s="29">
        <v>53270</v>
      </c>
      <c r="E25" s="59" t="s">
        <v>212</v>
      </c>
      <c r="F25" s="139" t="s">
        <v>213</v>
      </c>
      <c r="G25" s="23" t="s">
        <v>160</v>
      </c>
    </row>
    <row r="26" spans="4:7">
      <c r="D26" s="29">
        <v>53264</v>
      </c>
      <c r="E26" s="59" t="s">
        <v>214</v>
      </c>
      <c r="F26" s="139" t="s">
        <v>215</v>
      </c>
      <c r="G26" s="23" t="s">
        <v>160</v>
      </c>
    </row>
    <row r="27" spans="4:7">
      <c r="D27" s="29">
        <v>74863</v>
      </c>
      <c r="E27" s="59" t="s">
        <v>216</v>
      </c>
      <c r="F27" s="139" t="s">
        <v>217</v>
      </c>
      <c r="G27" s="23" t="s">
        <v>160</v>
      </c>
    </row>
    <row r="28" spans="4:7">
      <c r="D28" s="29">
        <v>27695</v>
      </c>
      <c r="E28" s="59" t="s">
        <v>218</v>
      </c>
      <c r="F28" s="139" t="s">
        <v>219</v>
      </c>
      <c r="G28" s="23" t="s">
        <v>160</v>
      </c>
    </row>
    <row r="29" spans="4:7">
      <c r="D29" s="29">
        <v>96283</v>
      </c>
      <c r="E29" s="59" t="s">
        <v>220</v>
      </c>
      <c r="F29" s="139" t="s">
        <v>217</v>
      </c>
      <c r="G29" s="23" t="s">
        <v>160</v>
      </c>
    </row>
    <row r="30" spans="4:7">
      <c r="D30" s="29" t="s">
        <v>184</v>
      </c>
      <c r="E30" s="59" t="s">
        <v>221</v>
      </c>
      <c r="F30" s="139" t="s">
        <v>222</v>
      </c>
      <c r="G30" s="23" t="s">
        <v>160</v>
      </c>
    </row>
    <row r="31" spans="4:7">
      <c r="D31" s="29">
        <v>99165</v>
      </c>
      <c r="E31" s="59" t="s">
        <v>224</v>
      </c>
      <c r="F31" s="139" t="s">
        <v>204</v>
      </c>
      <c r="G31" s="23" t="s">
        <v>160</v>
      </c>
    </row>
    <row r="32" spans="4:7" ht="16.5" thickBot="1">
      <c r="D32" s="35">
        <v>19348</v>
      </c>
      <c r="E32" s="60" t="s">
        <v>225</v>
      </c>
      <c r="F32" s="140" t="s">
        <v>174</v>
      </c>
      <c r="G32" s="23" t="s">
        <v>160</v>
      </c>
    </row>
    <row r="33" spans="4:7">
      <c r="D33" s="29">
        <v>27666</v>
      </c>
      <c r="E33" s="59" t="s">
        <v>226</v>
      </c>
      <c r="F33" s="139" t="s">
        <v>227</v>
      </c>
      <c r="G33" s="23" t="s">
        <v>160</v>
      </c>
    </row>
    <row r="34" spans="4:7">
      <c r="D34" s="29">
        <v>27970</v>
      </c>
      <c r="E34" s="59" t="s">
        <v>228</v>
      </c>
      <c r="F34" s="139">
        <v>12</v>
      </c>
      <c r="G34" s="23" t="s">
        <v>160</v>
      </c>
    </row>
  </sheetData>
  <mergeCells count="1">
    <mergeCell ref="E5:J5"/>
  </mergeCells>
  <conditionalFormatting sqref="D9:G15">
    <cfRule type="expression" dxfId="73" priority="3">
      <formula>$K9="Sim"</formula>
    </cfRule>
    <cfRule type="expression" dxfId="72" priority="4">
      <formula>$B9=1</formula>
    </cfRule>
  </conditionalFormatting>
  <conditionalFormatting sqref="D16:G34">
    <cfRule type="expression" dxfId="71" priority="1">
      <formula>$K17="Sim"</formula>
    </cfRule>
    <cfRule type="expression" dxfId="70" priority="2">
      <formula>$B17=1</formula>
    </cfRule>
  </conditionalFormatting>
  <dataValidations count="4">
    <dataValidation allowBlank="1" showInputMessage="1" showErrorMessage="1" prompt="Insira uma descrição do item nesta coluna" sqref="E8" xr:uid="{8508E30D-428B-42CB-B32E-050D212E6DB8}"/>
    <dataValidation allowBlank="1" showInputMessage="1" showErrorMessage="1" prompt="Insira a quantidade em estoque de cada item nesta coluna" sqref="F8" xr:uid="{7E126EC7-72A0-4534-853B-25515BEC5F80}"/>
    <dataValidation allowBlank="1" showInputMessage="1" showErrorMessage="1" prompt="Insira o nível de estoque de cada item nesta coluna" sqref="G8" xr:uid="{4BADCFDA-FB8F-4AD2-B259-1A60C2930DB0}"/>
    <dataValidation allowBlank="1" showInputMessage="1" showErrorMessage="1" prompt="Insira a ID de estoque do item nesta coluna" sqref="D8" xr:uid="{C0CF34D5-7B88-42C1-91CC-F3D8A82E8018}"/>
  </dataValidation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9AAA-1861-4B3B-8E50-DC3712D64A9A}">
  <sheetPr>
    <pageSetUpPr fitToPage="1"/>
  </sheetPr>
  <dimension ref="B1:K65"/>
  <sheetViews>
    <sheetView showGridLines="0" topLeftCell="A2" zoomScale="55" zoomScaleNormal="55" workbookViewId="0">
      <selection activeCell="E2" sqref="E2:H2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8.77734375" style="4"/>
    <col min="6" max="6" width="59.88671875" style="4" bestFit="1" customWidth="1"/>
    <col min="7" max="7" width="12.109375" style="4" customWidth="1"/>
    <col min="8" max="8" width="11.88671875" style="4" customWidth="1"/>
    <col min="9" max="9" width="60.44140625" style="4" bestFit="1" customWidth="1"/>
    <col min="10" max="16384" width="8.77734375" style="4"/>
  </cols>
  <sheetData>
    <row r="1" spans="2:11" s="1" customFormat="1" ht="116.25" customHeight="1">
      <c r="B1" s="2"/>
      <c r="C1" s="2"/>
      <c r="D1" s="2"/>
    </row>
    <row r="2" spans="2:11" s="1" customFormat="1" ht="116.25" customHeight="1">
      <c r="B2" s="2"/>
      <c r="C2" s="2"/>
      <c r="D2" s="2"/>
      <c r="E2" s="146" t="s">
        <v>233</v>
      </c>
      <c r="F2" s="146"/>
      <c r="G2" s="146"/>
      <c r="H2" s="146"/>
      <c r="I2" s="136"/>
      <c r="J2" s="136"/>
      <c r="K2" s="136"/>
    </row>
    <row r="3" spans="2:11" ht="23.25" customHeight="1"/>
    <row r="4" spans="2:11" s="3" customFormat="1" ht="50.1" customHeight="1">
      <c r="B4" s="9" t="s">
        <v>3</v>
      </c>
      <c r="C4" s="9" t="s">
        <v>4</v>
      </c>
      <c r="D4" s="9" t="s">
        <v>5</v>
      </c>
      <c r="E4" s="15" t="s">
        <v>6</v>
      </c>
      <c r="F4" s="16" t="s">
        <v>234</v>
      </c>
      <c r="G4" s="17" t="s">
        <v>115</v>
      </c>
      <c r="H4" s="122" t="s">
        <v>116</v>
      </c>
    </row>
    <row r="5" spans="2:11" ht="24" customHeight="1">
      <c r="B5" s="3">
        <f>IFERROR((#REF!&lt;=#REF!)*(#REF!="")*RealceValor,0)</f>
        <v>0</v>
      </c>
      <c r="E5" s="19">
        <v>39949</v>
      </c>
      <c r="F5" s="19" t="s">
        <v>235</v>
      </c>
      <c r="G5" s="21">
        <v>10</v>
      </c>
      <c r="H5" s="8" t="s">
        <v>236</v>
      </c>
    </row>
    <row r="6" spans="2:11" ht="24" customHeight="1">
      <c r="B6" s="3">
        <f>IFERROR((#REF!&lt;=#REF!)*(#REF!="")*RealceValor,0)</f>
        <v>0</v>
      </c>
      <c r="E6" s="22">
        <v>77008</v>
      </c>
      <c r="F6" s="22" t="s">
        <v>237</v>
      </c>
      <c r="G6" s="23">
        <v>10</v>
      </c>
      <c r="H6" s="8" t="s">
        <v>236</v>
      </c>
    </row>
    <row r="7" spans="2:11" ht="24" customHeight="1">
      <c r="B7" s="3">
        <f>IFERROR((#REF!&lt;=#REF!)*(#REF!="")*RealceValor,0)</f>
        <v>0</v>
      </c>
      <c r="E7" s="19">
        <v>34082</v>
      </c>
      <c r="F7" s="19" t="s">
        <v>238</v>
      </c>
      <c r="G7" s="21">
        <v>10</v>
      </c>
      <c r="H7" s="8" t="s">
        <v>236</v>
      </c>
    </row>
    <row r="8" spans="2:11" ht="24" customHeight="1">
      <c r="B8" s="3">
        <f>IFERROR((#REF!&lt;=#REF!)*(#REF!="")*RealceValor,0)</f>
        <v>0</v>
      </c>
      <c r="E8" s="22">
        <v>54827</v>
      </c>
      <c r="F8" s="22" t="s">
        <v>239</v>
      </c>
      <c r="G8" s="23">
        <v>10</v>
      </c>
      <c r="H8" s="8" t="s">
        <v>236</v>
      </c>
    </row>
    <row r="9" spans="2:11" ht="24" customHeight="1">
      <c r="B9" s="3">
        <f>IFERROR((#REF!&lt;=#REF!)*(#REF!="")*RealceValor,0)</f>
        <v>0</v>
      </c>
      <c r="E9" s="22">
        <v>54632</v>
      </c>
      <c r="F9" s="22" t="s">
        <v>240</v>
      </c>
      <c r="G9" s="23">
        <v>10</v>
      </c>
      <c r="H9" s="8" t="s">
        <v>236</v>
      </c>
    </row>
    <row r="10" spans="2:11" ht="24" customHeight="1">
      <c r="B10" s="3">
        <f>IFERROR((#REF!&lt;=#REF!)*(#REF!="")*RealceValor,0)</f>
        <v>0</v>
      </c>
      <c r="E10" s="41">
        <v>35519</v>
      </c>
      <c r="F10" s="41" t="s">
        <v>241</v>
      </c>
      <c r="G10" s="61">
        <v>26</v>
      </c>
      <c r="H10" s="61" t="s">
        <v>236</v>
      </c>
      <c r="I10" s="64" t="s">
        <v>242</v>
      </c>
    </row>
    <row r="11" spans="2:11" ht="24" customHeight="1">
      <c r="B11" s="3">
        <f>IFERROR((#REF!&lt;=#REF!)*(#REF!="")*RealceValor,0)</f>
        <v>0</v>
      </c>
      <c r="E11" s="41">
        <v>91920</v>
      </c>
      <c r="F11" s="41" t="s">
        <v>243</v>
      </c>
      <c r="G11" s="61">
        <v>26</v>
      </c>
      <c r="H11" s="61" t="s">
        <v>236</v>
      </c>
      <c r="I11" s="64" t="s">
        <v>242</v>
      </c>
    </row>
    <row r="12" spans="2:11" ht="24" customHeight="1">
      <c r="B12" s="3">
        <f>IFERROR((#REF!&lt;=#REF!)*(#REF!="")*RealceValor,0)</f>
        <v>0</v>
      </c>
      <c r="E12" s="19">
        <v>35650</v>
      </c>
      <c r="F12" s="19" t="s">
        <v>244</v>
      </c>
      <c r="G12" s="21">
        <v>10</v>
      </c>
      <c r="H12" s="8" t="s">
        <v>236</v>
      </c>
    </row>
    <row r="13" spans="2:11" ht="24" customHeight="1">
      <c r="B13" s="3">
        <f>IFERROR((#REF!&lt;=#REF!)*(#REF!="")*RealceValor,0)</f>
        <v>0</v>
      </c>
      <c r="E13" s="22">
        <v>30805</v>
      </c>
      <c r="F13" s="22" t="s">
        <v>245</v>
      </c>
      <c r="G13" s="23">
        <v>12</v>
      </c>
      <c r="H13" s="8" t="s">
        <v>236</v>
      </c>
    </row>
    <row r="14" spans="2:11" ht="24" customHeight="1">
      <c r="B14" s="3">
        <f>IFERROR((#REF!&lt;=#REF!)*(#REF!="")*RealceValor,0)</f>
        <v>0</v>
      </c>
      <c r="E14" s="22">
        <v>90124</v>
      </c>
      <c r="F14" s="22" t="s">
        <v>246</v>
      </c>
      <c r="G14" s="23">
        <v>15</v>
      </c>
      <c r="H14" s="8" t="s">
        <v>236</v>
      </c>
    </row>
    <row r="15" spans="2:11" ht="24" customHeight="1">
      <c r="B15" s="3">
        <f>IFERROR((#REF!&lt;=#REF!)*(#REF!="")*RealceValor,0)</f>
        <v>0</v>
      </c>
      <c r="E15" s="19">
        <v>91812</v>
      </c>
      <c r="F15" s="19" t="s">
        <v>247</v>
      </c>
      <c r="G15" s="21">
        <v>10</v>
      </c>
      <c r="H15" s="8" t="s">
        <v>236</v>
      </c>
    </row>
    <row r="16" spans="2:11" ht="24" customHeight="1">
      <c r="B16" s="3">
        <f>IFERROR((#REF!&lt;=#REF!)*(#REF!="")*RealceValor,0)</f>
        <v>0</v>
      </c>
      <c r="E16" s="22">
        <v>53680</v>
      </c>
      <c r="F16" s="22" t="s">
        <v>248</v>
      </c>
      <c r="G16" s="23">
        <v>4</v>
      </c>
      <c r="H16" s="8" t="s">
        <v>236</v>
      </c>
    </row>
    <row r="17" spans="2:8" ht="24" customHeight="1">
      <c r="B17" s="3">
        <f>IFERROR((#REF!&lt;=#REF!)*(#REF!="")*RealceValor,0)</f>
        <v>0</v>
      </c>
      <c r="E17" s="19">
        <v>38936</v>
      </c>
      <c r="F17" s="19" t="s">
        <v>249</v>
      </c>
      <c r="G17" s="21">
        <v>10</v>
      </c>
      <c r="H17" s="8" t="s">
        <v>236</v>
      </c>
    </row>
    <row r="18" spans="2:8" ht="24" customHeight="1">
      <c r="B18" s="3">
        <f>IFERROR((#REF!&lt;=#REF!)*(#REF!="")*RealceValor,0)</f>
        <v>0</v>
      </c>
      <c r="E18" s="22">
        <v>14045</v>
      </c>
      <c r="F18" s="22" t="s">
        <v>250</v>
      </c>
      <c r="G18" s="23">
        <v>10</v>
      </c>
      <c r="H18" s="8" t="s">
        <v>236</v>
      </c>
    </row>
    <row r="19" spans="2:8" ht="24" customHeight="1">
      <c r="B19" s="3">
        <f>IFERROR((#REF!&lt;=#REF!)*(#REF!="")*RealceValor,0)</f>
        <v>0</v>
      </c>
      <c r="E19" s="22">
        <v>50444</v>
      </c>
      <c r="F19" s="22" t="s">
        <v>251</v>
      </c>
      <c r="G19" s="23">
        <v>10</v>
      </c>
      <c r="H19" s="8" t="s">
        <v>236</v>
      </c>
    </row>
    <row r="20" spans="2:8" ht="24" customHeight="1">
      <c r="B20" s="3">
        <f>IFERROR((#REF!&lt;=#REF!)*(#REF!="")*RealceValor,0)</f>
        <v>0</v>
      </c>
      <c r="E20" s="19">
        <v>18414</v>
      </c>
      <c r="F20" s="19" t="s">
        <v>252</v>
      </c>
      <c r="G20" s="21">
        <v>10</v>
      </c>
      <c r="H20" s="8" t="s">
        <v>236</v>
      </c>
    </row>
    <row r="21" spans="2:8" ht="24" customHeight="1">
      <c r="B21" s="3">
        <f>IFERROR((#REF!&lt;=#REF!)*(#REF!="")*RealceValor,0)</f>
        <v>0</v>
      </c>
      <c r="E21" s="22">
        <v>53317</v>
      </c>
      <c r="F21" s="22" t="s">
        <v>182</v>
      </c>
      <c r="G21" s="23">
        <v>10</v>
      </c>
      <c r="H21" s="8" t="s">
        <v>236</v>
      </c>
    </row>
    <row r="22" spans="2:8" ht="24" customHeight="1">
      <c r="B22" s="3">
        <f>IFERROR((#REF!&lt;=#REF!)*(#REF!="")*RealceValor,0)</f>
        <v>0</v>
      </c>
      <c r="E22" s="19">
        <v>34354</v>
      </c>
      <c r="F22" s="19" t="s">
        <v>253</v>
      </c>
      <c r="G22" s="21">
        <v>4</v>
      </c>
      <c r="H22" s="135" t="s">
        <v>254</v>
      </c>
    </row>
    <row r="23" spans="2:8" ht="24" customHeight="1">
      <c r="B23" s="3">
        <f>IFERROR((#REF!&lt;=#REF!)*(#REF!="")*RealceValor,0)</f>
        <v>0</v>
      </c>
      <c r="E23" s="22">
        <v>98959</v>
      </c>
      <c r="F23" s="22" t="s">
        <v>255</v>
      </c>
      <c r="G23" s="23">
        <v>4</v>
      </c>
      <c r="H23" s="135" t="s">
        <v>254</v>
      </c>
    </row>
    <row r="24" spans="2:8" ht="24" customHeight="1">
      <c r="B24" s="3">
        <f>IFERROR((#REF!&lt;=#REF!)*(#REF!="")*RealceValor,0)</f>
        <v>0</v>
      </c>
      <c r="E24" s="22">
        <v>94836</v>
      </c>
      <c r="F24" s="22" t="s">
        <v>256</v>
      </c>
      <c r="G24" s="23">
        <v>4</v>
      </c>
      <c r="H24" s="135" t="s">
        <v>254</v>
      </c>
    </row>
    <row r="25" spans="2:8" ht="24" customHeight="1">
      <c r="B25" s="3">
        <f>IFERROR((#REF!&lt;=#REF!)*(#REF!="")*RealceValor,0)</f>
        <v>0</v>
      </c>
      <c r="E25" s="19"/>
      <c r="F25" s="19"/>
      <c r="G25" s="21"/>
      <c r="H25" s="135"/>
    </row>
    <row r="26" spans="2:8" ht="24" customHeight="1">
      <c r="B26" s="3">
        <f>IFERROR((#REF!&lt;=#REF!)*(#REF!="")*RealceValor,0)</f>
        <v>0</v>
      </c>
      <c r="E26" s="22"/>
      <c r="F26" s="22"/>
      <c r="G26" s="23"/>
      <c r="H26" s="128"/>
    </row>
    <row r="27" spans="2:8" ht="24" customHeight="1">
      <c r="B27" s="3">
        <f>IFERROR((#REF!&lt;=#REF!)*(#REF!="")*RealceValor,0)</f>
        <v>0</v>
      </c>
      <c r="E27" s="19"/>
      <c r="F27" s="19"/>
      <c r="G27" s="21"/>
      <c r="H27" s="8"/>
    </row>
    <row r="28" spans="2:8" ht="24" customHeight="1">
      <c r="B28" s="3">
        <f>IFERROR((#REF!&lt;=#REF!)*(#REF!="")*RealceValor,0)</f>
        <v>0</v>
      </c>
      <c r="E28" s="22"/>
      <c r="F28" s="22"/>
      <c r="G28" s="23"/>
      <c r="H28" s="128"/>
    </row>
    <row r="29" spans="2:8" ht="24" customHeight="1" thickBot="1">
      <c r="B29" s="3">
        <f>IFERROR((#REF!&lt;=#REF!)*(#REF!="")*RealceValor,0)</f>
        <v>0</v>
      </c>
      <c r="E29" s="54"/>
      <c r="F29" s="54"/>
      <c r="G29" s="55"/>
      <c r="H29" s="8"/>
    </row>
    <row r="30" spans="2:8" ht="24" customHeight="1" thickTop="1">
      <c r="B30" s="24">
        <f>IFERROR((#REF!&lt;=#REF!)*(#REF!="")*RealceValor,0)</f>
        <v>0</v>
      </c>
    </row>
    <row r="31" spans="2:8" ht="24" customHeight="1">
      <c r="B31" s="24">
        <f>IFERROR((#REF!&lt;=#REF!)*(#REF!="")*RealceValor,0)</f>
        <v>0</v>
      </c>
    </row>
    <row r="32" spans="2:8" ht="24" customHeight="1">
      <c r="B32" s="24">
        <f>IFERROR((#REF!&lt;=#REF!)*(#REF!="")*RealceValor,0)</f>
        <v>0</v>
      </c>
    </row>
    <row r="33" spans="2:2" ht="24" customHeight="1">
      <c r="B33" s="24">
        <f>IFERROR((#REF!&lt;=#REF!)*(#REF!="")*RealceValor,0)</f>
        <v>0</v>
      </c>
    </row>
    <row r="34" spans="2:2" ht="24" customHeight="1">
      <c r="B34" s="24">
        <f>IFERROR((#REF!&lt;=#REF!)*(#REF!="")*RealceValor,0)</f>
        <v>0</v>
      </c>
    </row>
    <row r="35" spans="2:2" ht="24" customHeight="1">
      <c r="B35" s="24">
        <f>IFERROR((#REF!&lt;=#REF!)*(#REF!="")*RealceValor,0)</f>
        <v>0</v>
      </c>
    </row>
    <row r="36" spans="2:2" ht="24" customHeight="1">
      <c r="B36" s="24">
        <f>IFERROR((#REF!&lt;=#REF!)*(#REF!="")*RealceValor,0)</f>
        <v>0</v>
      </c>
    </row>
    <row r="37" spans="2:2" ht="24" customHeight="1">
      <c r="B37" s="24">
        <f>IFERROR((#REF!&lt;=#REF!)*(#REF!="")*RealceValor,0)</f>
        <v>0</v>
      </c>
    </row>
    <row r="38" spans="2:2" ht="24" customHeight="1">
      <c r="B38" s="24">
        <f>IFERROR((#REF!&lt;=#REF!)*(#REF!="")*RealceValor,0)</f>
        <v>0</v>
      </c>
    </row>
    <row r="39" spans="2:2" ht="24" customHeight="1">
      <c r="B39" s="24">
        <f>IFERROR((#REF!&lt;=#REF!)*(#REF!="")*RealceValor,0)</f>
        <v>0</v>
      </c>
    </row>
    <row r="40" spans="2:2" ht="24" customHeight="1">
      <c r="B40" s="24">
        <f>IFERROR((#REF!&lt;=#REF!)*(#REF!="")*RealceValor,0)</f>
        <v>0</v>
      </c>
    </row>
    <row r="41" spans="2:2" ht="24" customHeight="1">
      <c r="B41" s="24">
        <f>IFERROR((#REF!&lt;=#REF!)*(#REF!="")*RealceValor,0)</f>
        <v>0</v>
      </c>
    </row>
    <row r="42" spans="2:2" ht="24" customHeight="1">
      <c r="B42" s="24">
        <f>IFERROR((#REF!&lt;=#REF!)*(#REF!="")*RealceValor,0)</f>
        <v>0</v>
      </c>
    </row>
    <row r="43" spans="2:2" ht="24" customHeight="1">
      <c r="B43" s="24">
        <f>IFERROR((#REF!&lt;=#REF!)*(#REF!="")*RealceValor,0)</f>
        <v>0</v>
      </c>
    </row>
    <row r="44" spans="2:2" ht="24" customHeight="1">
      <c r="B44" s="24">
        <f>IFERROR((#REF!&lt;=#REF!)*(#REF!="")*RealceValor,0)</f>
        <v>0</v>
      </c>
    </row>
    <row r="45" spans="2:2" ht="24" customHeight="1">
      <c r="B45" s="24">
        <f>IFERROR((#REF!&lt;=#REF!)*(#REF!="")*RealceValor,0)</f>
        <v>0</v>
      </c>
    </row>
    <row r="46" spans="2:2" ht="24" customHeight="1">
      <c r="B46" s="24">
        <f>IFERROR((#REF!&lt;=#REF!)*(#REF!="")*RealceValor,0)</f>
        <v>0</v>
      </c>
    </row>
    <row r="47" spans="2:2" ht="24" customHeight="1">
      <c r="B47" s="24">
        <f>IFERROR((#REF!&lt;=#REF!)*(#REF!="")*RealceValor,0)</f>
        <v>0</v>
      </c>
    </row>
    <row r="48" spans="2:2" ht="24" customHeight="1">
      <c r="B48" s="24">
        <f>IFERROR((#REF!&lt;=#REF!)*(#REF!="")*RealceValor,0)</f>
        <v>0</v>
      </c>
    </row>
    <row r="49" spans="2:2" ht="24" customHeight="1">
      <c r="B49" s="24">
        <f>IFERROR((#REF!&lt;=#REF!)*(#REF!="")*RealceValor,0)</f>
        <v>0</v>
      </c>
    </row>
    <row r="50" spans="2:2" ht="35.1" customHeight="1">
      <c r="B50" s="24">
        <f>IFERROR((#REF!&lt;=#REF!)*(#REF!="")*RealceValor,0)</f>
        <v>0</v>
      </c>
    </row>
    <row r="51" spans="2:2" ht="24" customHeight="1">
      <c r="B51" s="24">
        <f>IFERROR((#REF!&lt;=#REF!)*(#REF!="")*RealceValor,0)</f>
        <v>0</v>
      </c>
    </row>
    <row r="52" spans="2:2" ht="24" customHeight="1">
      <c r="B52" s="24">
        <f>IFERROR((#REF!&lt;=#REF!)*(#REF!="")*RealceValor,0)</f>
        <v>0</v>
      </c>
    </row>
    <row r="53" spans="2:2" ht="24" customHeight="1">
      <c r="B53" s="24">
        <f>IFERROR((#REF!&lt;=#REF!)*(#REF!="")*RealceValor,0)</f>
        <v>0</v>
      </c>
    </row>
    <row r="54" spans="2:2" ht="24" customHeight="1">
      <c r="B54" s="24">
        <f>IFERROR((#REF!&lt;=#REF!)*(#REF!="")*RealceValor,0)</f>
        <v>0</v>
      </c>
    </row>
    <row r="55" spans="2:2" ht="24" customHeight="1">
      <c r="B55" s="24">
        <f>IFERROR((#REF!&lt;=#REF!)*(#REF!="")*RealceValor,0)</f>
        <v>0</v>
      </c>
    </row>
    <row r="56" spans="2:2" ht="24" customHeight="1">
      <c r="B56" s="24">
        <f>IFERROR((#REF!&lt;=#REF!)*(#REF!="")*RealceValor,0)</f>
        <v>0</v>
      </c>
    </row>
    <row r="57" spans="2:2" ht="24" customHeight="1">
      <c r="B57" s="24">
        <f>IFERROR((#REF!&lt;=#REF!)*(#REF!="")*RealceValor,0)</f>
        <v>0</v>
      </c>
    </row>
    <row r="58" spans="2:2" ht="24" customHeight="1">
      <c r="B58" s="24">
        <f>IFERROR((#REF!&lt;=#REF!)*(#REF!="")*RealceValor,0)</f>
        <v>0</v>
      </c>
    </row>
    <row r="59" spans="2:2" ht="24" customHeight="1">
      <c r="B59" s="24">
        <f>IFERROR((#REF!&lt;=#REF!)*(#REF!="")*RealceValor,0)</f>
        <v>0</v>
      </c>
    </row>
    <row r="60" spans="2:2" ht="24" customHeight="1">
      <c r="B60" s="24">
        <f>IFERROR((#REF!&lt;=#REF!)*(#REF!="")*RealceValor,0)</f>
        <v>0</v>
      </c>
    </row>
    <row r="61" spans="2:2" ht="24" customHeight="1">
      <c r="B61" s="24">
        <f>IFERROR((#REF!&lt;=#REF!)*(#REF!="")*RealceValor,0)</f>
        <v>0</v>
      </c>
    </row>
    <row r="62" spans="2:2" ht="24" customHeight="1">
      <c r="B62" s="24">
        <f>IFERROR((#REF!&lt;=#REF!)*(#REF!="")*RealceValor,0)</f>
        <v>0</v>
      </c>
    </row>
    <row r="63" spans="2:2" ht="24" customHeight="1">
      <c r="B63" s="24">
        <f>IFERROR((#REF!&lt;=#REF!)*(#REF!="")*RealceValor,0)</f>
        <v>0</v>
      </c>
    </row>
    <row r="64" spans="2:2" ht="24" customHeight="1">
      <c r="B64" s="24">
        <f>IFERROR((#REF!&lt;=#REF!)*(#REF!="")*RealceValor,0)</f>
        <v>0</v>
      </c>
    </row>
    <row r="65" spans="2:2" ht="24" customHeight="1">
      <c r="B65" s="24">
        <f>IFERROR((#REF!&lt;=#REF!)*(#REF!="")*RealceValor,0)</f>
        <v>0</v>
      </c>
    </row>
  </sheetData>
  <mergeCells count="1">
    <mergeCell ref="E2:H2"/>
  </mergeCells>
  <conditionalFormatting sqref="B5:D65">
    <cfRule type="expression" dxfId="69" priority="5">
      <formula>$B5=1</formula>
    </cfRule>
  </conditionalFormatting>
  <conditionalFormatting sqref="E5:E6">
    <cfRule type="expression" dxfId="68" priority="1">
      <formula>#REF!="Sim"</formula>
    </cfRule>
  </conditionalFormatting>
  <conditionalFormatting sqref="E5:H29">
    <cfRule type="expression" dxfId="67" priority="2">
      <formula>$B5=1</formula>
    </cfRule>
  </conditionalFormatting>
  <conditionalFormatting sqref="E10:H11">
    <cfRule type="expression" dxfId="66" priority="3">
      <formula>#REF!="Sim"</formula>
    </cfRule>
  </conditionalFormatting>
  <conditionalFormatting sqref="F5:H6 B5:D65 E7:H9 E12:H29">
    <cfRule type="expression" dxfId="65" priority="4">
      <formula>#REF!="Sim"</formula>
    </cfRule>
  </conditionalFormatting>
  <dataValidations count="6"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0D3C7C99-9AB9-4A8D-B075-6C52470DDFE4}"/>
    <dataValidation allowBlank="1" showInputMessage="1" showErrorMessage="1" prompt="Insira uma descrição do item nesta coluna" sqref="F4" xr:uid="{3B879248-F700-4649-B3BF-2FC3E68A6888}"/>
    <dataValidation allowBlank="1" showInputMessage="1" showErrorMessage="1" prompt="Insira a quantidade em estoque de cada item nesta coluna" sqref="G4:H4" xr:uid="{12559818-5313-4A2B-8E80-FAB635760CF0}"/>
    <dataValidation allowBlank="1" showInputMessage="1" showErrorMessage="1" prompt="Insira a ID de estoque do item nesta coluna" sqref="E4" xr:uid="{43E3C8C2-A873-43F1-9763-2C51E4A5354B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3805F44B-3961-4141-B341-AD3D6DE1137C}"/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2BA93C66-7ABC-45D9-ACAA-311B10F683F8}"/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49F5DF25-2138-4140-8684-A5A82ECB78C3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B5:D65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6437-686E-43DC-A27A-6CB81013F62C}">
  <sheetPr>
    <pageSetUpPr fitToPage="1"/>
  </sheetPr>
  <dimension ref="B1:J65"/>
  <sheetViews>
    <sheetView showGridLines="0" zoomScale="70" zoomScaleNormal="70" workbookViewId="0">
      <selection activeCell="F1" sqref="F1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8.77734375" style="4"/>
    <col min="6" max="6" width="64.44140625" style="4" customWidth="1"/>
    <col min="7" max="7" width="11.109375" style="4" customWidth="1"/>
    <col min="8" max="8" width="12.21875" style="4" customWidth="1"/>
    <col min="9" max="9" width="60.44140625" style="4" bestFit="1" customWidth="1"/>
    <col min="10" max="16384" width="8.77734375" style="4"/>
  </cols>
  <sheetData>
    <row r="1" spans="2:10" s="1" customFormat="1" ht="116.25" customHeight="1">
      <c r="B1" s="2"/>
      <c r="C1" s="2"/>
      <c r="D1" s="2"/>
    </row>
    <row r="2" spans="2:10" s="1" customFormat="1" ht="116.25" customHeight="1">
      <c r="B2" s="2"/>
      <c r="C2" s="2"/>
      <c r="D2" s="2"/>
      <c r="E2" s="146" t="s">
        <v>257</v>
      </c>
      <c r="F2" s="146"/>
      <c r="G2" s="146"/>
      <c r="H2" s="146"/>
    </row>
    <row r="3" spans="2:10" ht="23.25" customHeight="1"/>
    <row r="4" spans="2:10" s="3" customFormat="1" ht="50.1" customHeight="1">
      <c r="B4" s="9" t="s">
        <v>3</v>
      </c>
      <c r="C4" s="9" t="s">
        <v>4</v>
      </c>
      <c r="D4" s="9" t="s">
        <v>5</v>
      </c>
      <c r="E4" s="15" t="s">
        <v>6</v>
      </c>
      <c r="F4" s="16" t="s">
        <v>258</v>
      </c>
      <c r="G4" s="17" t="s">
        <v>115</v>
      </c>
      <c r="H4" s="17" t="s">
        <v>8</v>
      </c>
    </row>
    <row r="5" spans="2:10" ht="24" customHeight="1">
      <c r="B5" s="3">
        <f>IFERROR((#REF!&lt;=#REF!)*(#REF!="")*RealceValor,0)</f>
        <v>0</v>
      </c>
      <c r="E5" s="19">
        <v>39949</v>
      </c>
      <c r="F5" s="19" t="s">
        <v>235</v>
      </c>
      <c r="G5" s="21">
        <v>12</v>
      </c>
      <c r="H5" s="21" t="s">
        <v>236</v>
      </c>
    </row>
    <row r="6" spans="2:10" ht="24" customHeight="1">
      <c r="B6" s="3">
        <f>IFERROR((#REF!&lt;=#REF!)*(#REF!="")*RealceValor,0)</f>
        <v>0</v>
      </c>
      <c r="E6" s="22">
        <v>77008</v>
      </c>
      <c r="F6" s="22" t="s">
        <v>237</v>
      </c>
      <c r="G6" s="23">
        <v>12</v>
      </c>
      <c r="H6" s="21" t="s">
        <v>236</v>
      </c>
    </row>
    <row r="7" spans="2:10" ht="24" customHeight="1">
      <c r="B7" s="3">
        <f>IFERROR((#REF!&lt;=#REF!)*(#REF!="")*RealceValor,0)</f>
        <v>0</v>
      </c>
      <c r="E7" s="19">
        <v>34082</v>
      </c>
      <c r="F7" s="19" t="s">
        <v>238</v>
      </c>
      <c r="G7" s="21">
        <v>12</v>
      </c>
      <c r="H7" s="21" t="s">
        <v>236</v>
      </c>
    </row>
    <row r="8" spans="2:10" ht="24" customHeight="1">
      <c r="B8" s="3">
        <f>IFERROR((#REF!&lt;=#REF!)*(#REF!="")*RealceValor,0)</f>
        <v>0</v>
      </c>
      <c r="E8" s="22">
        <v>54827</v>
      </c>
      <c r="F8" s="22" t="s">
        <v>239</v>
      </c>
      <c r="G8" s="23">
        <v>12</v>
      </c>
      <c r="H8" s="21" t="s">
        <v>236</v>
      </c>
    </row>
    <row r="9" spans="2:10" ht="24" customHeight="1">
      <c r="B9" s="3">
        <f>IFERROR((#REF!&lt;=#REF!)*(#REF!="")*RealceValor,0)</f>
        <v>0</v>
      </c>
      <c r="E9" s="19">
        <v>54632</v>
      </c>
      <c r="F9" s="19" t="s">
        <v>240</v>
      </c>
      <c r="G9" s="21">
        <v>12</v>
      </c>
      <c r="H9" s="21" t="s">
        <v>236</v>
      </c>
    </row>
    <row r="10" spans="2:10" ht="24" customHeight="1">
      <c r="B10" s="3">
        <f>IFERROR((#REF!&lt;=#REF!)*(#REF!="")*RealceValor,0)</f>
        <v>0</v>
      </c>
      <c r="E10" s="41">
        <v>35519</v>
      </c>
      <c r="F10" s="41" t="s">
        <v>241</v>
      </c>
      <c r="G10" s="61">
        <v>26</v>
      </c>
      <c r="H10" s="61" t="s">
        <v>236</v>
      </c>
      <c r="I10" s="64" t="s">
        <v>242</v>
      </c>
      <c r="J10" s="64"/>
    </row>
    <row r="11" spans="2:10" ht="24" customHeight="1">
      <c r="B11" s="3">
        <f>IFERROR((#REF!&lt;=#REF!)*(#REF!="")*RealceValor,0)</f>
        <v>0</v>
      </c>
      <c r="E11" s="41">
        <v>91920</v>
      </c>
      <c r="F11" s="41" t="s">
        <v>243</v>
      </c>
      <c r="G11" s="61">
        <v>26</v>
      </c>
      <c r="H11" s="61" t="s">
        <v>236</v>
      </c>
      <c r="I11" s="64" t="s">
        <v>242</v>
      </c>
      <c r="J11" s="64"/>
    </row>
    <row r="12" spans="2:10" ht="24" customHeight="1">
      <c r="B12" s="3">
        <f>IFERROR((#REF!&lt;=#REF!)*(#REF!="")*RealceValor,0)</f>
        <v>0</v>
      </c>
      <c r="E12" s="22">
        <v>35650</v>
      </c>
      <c r="F12" s="22" t="s">
        <v>244</v>
      </c>
      <c r="G12" s="23">
        <v>12</v>
      </c>
      <c r="H12" s="21" t="s">
        <v>236</v>
      </c>
    </row>
    <row r="13" spans="2:10" ht="24" customHeight="1">
      <c r="B13" s="3">
        <f>IFERROR((#REF!&lt;=#REF!)*(#REF!="")*RealceValor,0)</f>
        <v>0</v>
      </c>
      <c r="E13" s="19">
        <v>30805</v>
      </c>
      <c r="F13" s="19" t="s">
        <v>245</v>
      </c>
      <c r="G13" s="21">
        <v>13</v>
      </c>
      <c r="H13" s="21" t="s">
        <v>236</v>
      </c>
    </row>
    <row r="14" spans="2:10" ht="24" customHeight="1">
      <c r="B14" s="3">
        <f>IFERROR((#REF!&lt;=#REF!)*(#REF!="")*RealceValor,0)</f>
        <v>0</v>
      </c>
      <c r="E14" s="22">
        <v>90124</v>
      </c>
      <c r="F14" s="22" t="s">
        <v>246</v>
      </c>
      <c r="G14" s="23">
        <v>12</v>
      </c>
      <c r="H14" s="21" t="s">
        <v>236</v>
      </c>
    </row>
    <row r="15" spans="2:10" ht="24" customHeight="1">
      <c r="B15" s="3">
        <f>IFERROR((#REF!&lt;=#REF!)*(#REF!="")*RealceValor,0)</f>
        <v>0</v>
      </c>
      <c r="E15" s="19">
        <v>91812</v>
      </c>
      <c r="F15" s="19" t="s">
        <v>247</v>
      </c>
      <c r="G15" s="21">
        <v>12</v>
      </c>
      <c r="H15" s="21" t="s">
        <v>236</v>
      </c>
    </row>
    <row r="16" spans="2:10" ht="24" customHeight="1">
      <c r="B16" s="3">
        <f>IFERROR((#REF!&lt;=#REF!)*(#REF!="")*RealceValor,0)</f>
        <v>0</v>
      </c>
      <c r="E16" s="22">
        <v>38936</v>
      </c>
      <c r="F16" s="22" t="s">
        <v>249</v>
      </c>
      <c r="G16" s="23">
        <v>12</v>
      </c>
      <c r="H16" s="21" t="s">
        <v>236</v>
      </c>
    </row>
    <row r="17" spans="2:8" ht="24" customHeight="1">
      <c r="B17" s="3">
        <f>IFERROR((#REF!&lt;=#REF!)*(#REF!="")*RealceValor,0)</f>
        <v>0</v>
      </c>
      <c r="E17" s="19">
        <v>14045</v>
      </c>
      <c r="F17" s="19" t="s">
        <v>250</v>
      </c>
      <c r="G17" s="21">
        <v>12</v>
      </c>
      <c r="H17" s="21" t="s">
        <v>236</v>
      </c>
    </row>
    <row r="18" spans="2:8" ht="24" customHeight="1">
      <c r="B18" s="3">
        <f>IFERROR((#REF!&lt;=#REF!)*(#REF!="")*RealceValor,0)</f>
        <v>0</v>
      </c>
      <c r="E18" s="22">
        <v>50444</v>
      </c>
      <c r="F18" s="22" t="s">
        <v>251</v>
      </c>
      <c r="G18" s="23">
        <v>12</v>
      </c>
      <c r="H18" s="21" t="s">
        <v>236</v>
      </c>
    </row>
    <row r="19" spans="2:8" ht="24" customHeight="1">
      <c r="B19" s="3">
        <f>IFERROR((#REF!&lt;=#REF!)*(#REF!="")*RealceValor,0)</f>
        <v>0</v>
      </c>
      <c r="E19" s="19">
        <v>18414</v>
      </c>
      <c r="F19" s="19" t="s">
        <v>252</v>
      </c>
      <c r="G19" s="21">
        <v>14</v>
      </c>
      <c r="H19" s="21" t="s">
        <v>236</v>
      </c>
    </row>
    <row r="20" spans="2:8" ht="24" customHeight="1">
      <c r="B20" s="3">
        <f>IFERROR((#REF!&lt;=#REF!)*(#REF!="")*RealceValor,0)</f>
        <v>0</v>
      </c>
      <c r="E20" s="22">
        <v>53317</v>
      </c>
      <c r="F20" s="22" t="s">
        <v>182</v>
      </c>
      <c r="G20" s="23">
        <v>24</v>
      </c>
      <c r="H20" s="21" t="s">
        <v>236</v>
      </c>
    </row>
    <row r="21" spans="2:8" ht="24" customHeight="1">
      <c r="B21" s="3">
        <f>IFERROR((#REF!&lt;=#REF!)*(#REF!="")*RealceValor,0)</f>
        <v>0</v>
      </c>
      <c r="E21" s="19"/>
      <c r="F21" s="19"/>
      <c r="G21" s="21"/>
      <c r="H21" s="21"/>
    </row>
    <row r="22" spans="2:8" ht="24" customHeight="1">
      <c r="B22" s="3">
        <f>IFERROR((#REF!&lt;=#REF!)*(#REF!="")*RealceValor,0)</f>
        <v>0</v>
      </c>
      <c r="E22" s="22"/>
      <c r="F22" s="22"/>
      <c r="G22" s="23"/>
      <c r="H22" s="23"/>
    </row>
    <row r="23" spans="2:8" ht="24" customHeight="1">
      <c r="B23" s="3">
        <f>IFERROR((#REF!&lt;=#REF!)*(#REF!="")*RealceValor,0)</f>
        <v>0</v>
      </c>
      <c r="E23" s="19"/>
      <c r="F23" s="19"/>
      <c r="G23" s="21"/>
      <c r="H23" s="21"/>
    </row>
    <row r="24" spans="2:8" ht="24" customHeight="1">
      <c r="B24" s="3">
        <f>IFERROR((#REF!&lt;=#REF!)*(#REF!="")*RealceValor,0)</f>
        <v>0</v>
      </c>
      <c r="E24" s="22"/>
      <c r="F24" s="22"/>
      <c r="G24" s="23"/>
      <c r="H24" s="23"/>
    </row>
    <row r="25" spans="2:8" ht="24" customHeight="1">
      <c r="B25" s="3">
        <f>IFERROR((#REF!&lt;=#REF!)*(#REF!="")*RealceValor,0)</f>
        <v>0</v>
      </c>
      <c r="E25" s="19"/>
      <c r="F25" s="19"/>
      <c r="G25" s="21"/>
      <c r="H25" s="21"/>
    </row>
    <row r="26" spans="2:8" ht="24" customHeight="1">
      <c r="B26" s="3">
        <f>IFERROR((#REF!&lt;=#REF!)*(#REF!="")*RealceValor,0)</f>
        <v>0</v>
      </c>
      <c r="E26" s="22"/>
      <c r="F26" s="22"/>
      <c r="G26" s="23"/>
      <c r="H26" s="23"/>
    </row>
    <row r="27" spans="2:8" ht="24" customHeight="1">
      <c r="B27" s="3">
        <f>IFERROR((#REF!&lt;=#REF!)*(#REF!="")*RealceValor,0)</f>
        <v>0</v>
      </c>
      <c r="E27" s="19"/>
      <c r="F27" s="19"/>
      <c r="G27" s="21"/>
      <c r="H27" s="21"/>
    </row>
    <row r="28" spans="2:8" ht="24" customHeight="1">
      <c r="B28" s="3">
        <f>IFERROR((#REF!&lt;=#REF!)*(#REF!="")*RealceValor,0)</f>
        <v>0</v>
      </c>
      <c r="E28" s="22"/>
      <c r="F28" s="22"/>
      <c r="G28" s="23"/>
      <c r="H28" s="23"/>
    </row>
    <row r="29" spans="2:8" ht="24" customHeight="1" thickBot="1">
      <c r="B29" s="3">
        <f>IFERROR((#REF!&lt;=#REF!)*(#REF!="")*RealceValor,0)</f>
        <v>0</v>
      </c>
      <c r="E29" s="54"/>
      <c r="F29" s="54"/>
      <c r="G29" s="55"/>
      <c r="H29" s="55"/>
    </row>
    <row r="30" spans="2:8" ht="24" customHeight="1" thickTop="1">
      <c r="B30" s="24">
        <f>IFERROR((#REF!&lt;=#REF!)*(#REF!="")*RealceValor,0)</f>
        <v>0</v>
      </c>
    </row>
    <row r="31" spans="2:8" ht="24" customHeight="1">
      <c r="B31" s="24">
        <f>IFERROR((#REF!&lt;=#REF!)*(#REF!="")*RealceValor,0)</f>
        <v>0</v>
      </c>
    </row>
    <row r="32" spans="2:8" ht="24" customHeight="1">
      <c r="B32" s="24">
        <f>IFERROR((#REF!&lt;=#REF!)*(#REF!="")*RealceValor,0)</f>
        <v>0</v>
      </c>
    </row>
    <row r="33" spans="2:2" ht="24" customHeight="1">
      <c r="B33" s="24">
        <f>IFERROR((#REF!&lt;=#REF!)*(#REF!="")*RealceValor,0)</f>
        <v>0</v>
      </c>
    </row>
    <row r="34" spans="2:2" ht="24" customHeight="1">
      <c r="B34" s="24">
        <f>IFERROR((#REF!&lt;=#REF!)*(#REF!="")*RealceValor,0)</f>
        <v>0</v>
      </c>
    </row>
    <row r="35" spans="2:2" ht="24" customHeight="1">
      <c r="B35" s="24">
        <f>IFERROR((#REF!&lt;=#REF!)*(#REF!="")*RealceValor,0)</f>
        <v>0</v>
      </c>
    </row>
    <row r="36" spans="2:2" ht="24" customHeight="1">
      <c r="B36" s="24">
        <f>IFERROR((#REF!&lt;=#REF!)*(#REF!="")*RealceValor,0)</f>
        <v>0</v>
      </c>
    </row>
    <row r="37" spans="2:2" ht="24" customHeight="1">
      <c r="B37" s="24">
        <f>IFERROR((#REF!&lt;=#REF!)*(#REF!="")*RealceValor,0)</f>
        <v>0</v>
      </c>
    </row>
    <row r="38" spans="2:2" ht="24" customHeight="1">
      <c r="B38" s="24">
        <f>IFERROR((#REF!&lt;=#REF!)*(#REF!="")*RealceValor,0)</f>
        <v>0</v>
      </c>
    </row>
    <row r="39" spans="2:2" ht="24" customHeight="1">
      <c r="B39" s="24">
        <f>IFERROR((#REF!&lt;=#REF!)*(#REF!="")*RealceValor,0)</f>
        <v>0</v>
      </c>
    </row>
    <row r="40" spans="2:2" ht="24" customHeight="1">
      <c r="B40" s="24">
        <f>IFERROR((#REF!&lt;=#REF!)*(#REF!="")*RealceValor,0)</f>
        <v>0</v>
      </c>
    </row>
    <row r="41" spans="2:2" ht="24" customHeight="1">
      <c r="B41" s="24">
        <f>IFERROR((#REF!&lt;=#REF!)*(#REF!="")*RealceValor,0)</f>
        <v>0</v>
      </c>
    </row>
    <row r="42" spans="2:2" ht="24" customHeight="1">
      <c r="B42" s="24">
        <f>IFERROR((#REF!&lt;=#REF!)*(#REF!="")*RealceValor,0)</f>
        <v>0</v>
      </c>
    </row>
    <row r="43" spans="2:2" ht="24" customHeight="1">
      <c r="B43" s="24">
        <f>IFERROR((#REF!&lt;=#REF!)*(#REF!="")*RealceValor,0)</f>
        <v>0</v>
      </c>
    </row>
    <row r="44" spans="2:2" ht="24" customHeight="1">
      <c r="B44" s="24">
        <f>IFERROR((#REF!&lt;=#REF!)*(#REF!="")*RealceValor,0)</f>
        <v>0</v>
      </c>
    </row>
    <row r="45" spans="2:2" ht="24" customHeight="1">
      <c r="B45" s="24">
        <f>IFERROR((#REF!&lt;=#REF!)*(#REF!="")*RealceValor,0)</f>
        <v>0</v>
      </c>
    </row>
    <row r="46" spans="2:2" ht="24" customHeight="1">
      <c r="B46" s="24">
        <f>IFERROR((#REF!&lt;=#REF!)*(#REF!="")*RealceValor,0)</f>
        <v>0</v>
      </c>
    </row>
    <row r="47" spans="2:2" ht="24" customHeight="1">
      <c r="B47" s="24">
        <f>IFERROR((#REF!&lt;=#REF!)*(#REF!="")*RealceValor,0)</f>
        <v>0</v>
      </c>
    </row>
    <row r="48" spans="2:2" ht="24" customHeight="1">
      <c r="B48" s="24">
        <f>IFERROR((#REF!&lt;=#REF!)*(#REF!="")*RealceValor,0)</f>
        <v>0</v>
      </c>
    </row>
    <row r="49" spans="2:2" ht="24" customHeight="1">
      <c r="B49" s="24">
        <f>IFERROR((#REF!&lt;=#REF!)*(#REF!="")*RealceValor,0)</f>
        <v>0</v>
      </c>
    </row>
    <row r="50" spans="2:2" ht="35.1" customHeight="1">
      <c r="B50" s="24">
        <f>IFERROR((#REF!&lt;=#REF!)*(#REF!="")*RealceValor,0)</f>
        <v>0</v>
      </c>
    </row>
    <row r="51" spans="2:2" ht="24" customHeight="1">
      <c r="B51" s="24">
        <f>IFERROR((#REF!&lt;=#REF!)*(#REF!="")*RealceValor,0)</f>
        <v>0</v>
      </c>
    </row>
    <row r="52" spans="2:2" ht="24" customHeight="1">
      <c r="B52" s="24">
        <f>IFERROR((#REF!&lt;=#REF!)*(#REF!="")*RealceValor,0)</f>
        <v>0</v>
      </c>
    </row>
    <row r="53" spans="2:2" ht="24" customHeight="1">
      <c r="B53" s="24">
        <f>IFERROR((#REF!&lt;=#REF!)*(#REF!="")*RealceValor,0)</f>
        <v>0</v>
      </c>
    </row>
    <row r="54" spans="2:2" ht="24" customHeight="1">
      <c r="B54" s="24">
        <f>IFERROR((#REF!&lt;=#REF!)*(#REF!="")*RealceValor,0)</f>
        <v>0</v>
      </c>
    </row>
    <row r="55" spans="2:2" ht="24" customHeight="1">
      <c r="B55" s="24">
        <f>IFERROR((#REF!&lt;=#REF!)*(#REF!="")*RealceValor,0)</f>
        <v>0</v>
      </c>
    </row>
    <row r="56" spans="2:2" ht="24" customHeight="1">
      <c r="B56" s="24">
        <f>IFERROR((#REF!&lt;=#REF!)*(#REF!="")*RealceValor,0)</f>
        <v>0</v>
      </c>
    </row>
    <row r="57" spans="2:2" ht="24" customHeight="1">
      <c r="B57" s="24">
        <f>IFERROR((#REF!&lt;=#REF!)*(#REF!="")*RealceValor,0)</f>
        <v>0</v>
      </c>
    </row>
    <row r="58" spans="2:2" ht="24" customHeight="1">
      <c r="B58" s="24">
        <f>IFERROR((#REF!&lt;=#REF!)*(#REF!="")*RealceValor,0)</f>
        <v>0</v>
      </c>
    </row>
    <row r="59" spans="2:2" ht="24" customHeight="1">
      <c r="B59" s="24">
        <f>IFERROR((#REF!&lt;=#REF!)*(#REF!="")*RealceValor,0)</f>
        <v>0</v>
      </c>
    </row>
    <row r="60" spans="2:2" ht="24" customHeight="1">
      <c r="B60" s="24">
        <f>IFERROR((#REF!&lt;=#REF!)*(#REF!="")*RealceValor,0)</f>
        <v>0</v>
      </c>
    </row>
    <row r="61" spans="2:2" ht="24" customHeight="1">
      <c r="B61" s="24">
        <f>IFERROR((#REF!&lt;=#REF!)*(#REF!="")*RealceValor,0)</f>
        <v>0</v>
      </c>
    </row>
    <row r="62" spans="2:2" ht="24" customHeight="1">
      <c r="B62" s="24">
        <f>IFERROR((#REF!&lt;=#REF!)*(#REF!="")*RealceValor,0)</f>
        <v>0</v>
      </c>
    </row>
    <row r="63" spans="2:2" ht="24" customHeight="1">
      <c r="B63" s="24">
        <f>IFERROR((#REF!&lt;=#REF!)*(#REF!="")*RealceValor,0)</f>
        <v>0</v>
      </c>
    </row>
    <row r="64" spans="2:2" ht="24" customHeight="1">
      <c r="B64" s="24">
        <f>IFERROR((#REF!&lt;=#REF!)*(#REF!="")*RealceValor,0)</f>
        <v>0</v>
      </c>
    </row>
    <row r="65" spans="2:2" ht="24" customHeight="1">
      <c r="B65" s="24">
        <f>IFERROR((#REF!&lt;=#REF!)*(#REF!="")*RealceValor,0)</f>
        <v>0</v>
      </c>
    </row>
  </sheetData>
  <mergeCells count="1">
    <mergeCell ref="E2:H2"/>
  </mergeCells>
  <conditionalFormatting sqref="B5:D65">
    <cfRule type="expression" dxfId="56" priority="6">
      <formula>#REF!="Sim"</formula>
    </cfRule>
    <cfRule type="expression" dxfId="55" priority="7">
      <formula>$B5=1</formula>
    </cfRule>
  </conditionalFormatting>
  <conditionalFormatting sqref="E5:H29">
    <cfRule type="expression" dxfId="54" priority="1">
      <formula>#REF!="Sim"</formula>
    </cfRule>
    <cfRule type="expression" dxfId="53" priority="2">
      <formula>$B5=1</formula>
    </cfRule>
  </conditionalFormatting>
  <dataValidations count="6"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82C1850E-6F77-4436-BC0E-B362F040197C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F7E69D1A-329E-4795-B6A5-87665A021AD0}"/>
    <dataValidation allowBlank="1" showInputMessage="1" showErrorMessage="1" prompt="Insira a ID de estoque do item nesta coluna" sqref="E4" xr:uid="{F4FAECD4-D11B-4AE3-BAA3-BDDE439BFB39}"/>
    <dataValidation allowBlank="1" showInputMessage="1" showErrorMessage="1" prompt="Insira a quantidade em estoque de cada item nesta coluna" sqref="G4:H4" xr:uid="{72D08A8C-EABF-481E-8585-70309D12AA46}"/>
    <dataValidation allowBlank="1" showInputMessage="1" showErrorMessage="1" prompt="Insira uma descrição do item nesta coluna" sqref="F4" xr:uid="{8EA210BC-5253-454E-B0AB-4620F97B7B59}"/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196FB7C8-0E58-4482-9DDC-AC99E48DF2F8}"/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F4E995A4-B843-444A-8FCE-8599F1E5E4EF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B5:D65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5FF9-911F-4A61-9AAC-485D9F0C2876}">
  <sheetPr>
    <tabColor rgb="FFFF0000"/>
  </sheetPr>
  <dimension ref="B1:L29"/>
  <sheetViews>
    <sheetView topLeftCell="A4" zoomScale="55" zoomScaleNormal="55" workbookViewId="0">
      <selection activeCell="H20" sqref="H20"/>
    </sheetView>
  </sheetViews>
  <sheetFormatPr defaultColWidth="8.77734375" defaultRowHeight="24" customHeight="1"/>
  <cols>
    <col min="1" max="1" width="1.77734375" style="14" customWidth="1"/>
    <col min="2" max="4" width="12.5546875" style="44" hidden="1" customWidth="1"/>
    <col min="5" max="5" width="14.77734375" style="52" hidden="1" customWidth="1"/>
    <col min="6" max="6" width="0.109375" style="52" customWidth="1"/>
    <col min="7" max="7" width="0.33203125" style="51" customWidth="1"/>
    <col min="8" max="8" width="23.6640625" style="14" bestFit="1" customWidth="1"/>
    <col min="9" max="9" width="8.77734375" style="14"/>
    <col min="10" max="10" width="54.88671875" style="14" bestFit="1" customWidth="1"/>
    <col min="11" max="11" width="11.77734375" style="14" customWidth="1"/>
    <col min="12" max="16384" width="8.77734375" style="14"/>
  </cols>
  <sheetData>
    <row r="1" spans="2:12" s="43" customFormat="1" ht="116.25" customHeight="1">
      <c r="B1" s="45"/>
      <c r="C1" s="45"/>
      <c r="D1" s="45"/>
      <c r="E1" s="46"/>
    </row>
    <row r="2" spans="2:12" s="43" customFormat="1" ht="116.25" customHeight="1">
      <c r="B2" s="45"/>
      <c r="C2" s="45"/>
      <c r="D2" s="45"/>
      <c r="E2" s="46"/>
      <c r="I2" s="146" t="s">
        <v>259</v>
      </c>
      <c r="J2" s="146"/>
      <c r="K2" s="146"/>
      <c r="L2" s="146"/>
    </row>
    <row r="3" spans="2:12" ht="23.25" customHeight="1">
      <c r="E3" s="47"/>
      <c r="F3" s="48" t="s">
        <v>142</v>
      </c>
      <c r="G3" s="49" t="s">
        <v>143</v>
      </c>
    </row>
    <row r="4" spans="2:12" s="44" customFormat="1" ht="50.1" customHeight="1">
      <c r="B4" s="50" t="s">
        <v>3</v>
      </c>
      <c r="C4" s="50" t="s">
        <v>4</v>
      </c>
      <c r="D4" s="50" t="s">
        <v>5</v>
      </c>
      <c r="E4" s="50" t="s">
        <v>117</v>
      </c>
      <c r="F4" s="50" t="s">
        <v>118</v>
      </c>
      <c r="G4" s="50" t="s">
        <v>119</v>
      </c>
      <c r="I4" s="15" t="s">
        <v>6</v>
      </c>
      <c r="J4" s="16" t="s">
        <v>260</v>
      </c>
      <c r="K4" s="17" t="s">
        <v>115</v>
      </c>
      <c r="L4" s="16" t="s">
        <v>116</v>
      </c>
    </row>
    <row r="5" spans="2:12" ht="24" customHeight="1">
      <c r="B5" s="44">
        <f>IFERROR((#REF!&lt;=#REF!)*(Inventory_List_Table37[[#This Row],[Tem Estoque?]]="")*RealceValor,0)</f>
        <v>0</v>
      </c>
      <c r="E5" s="53"/>
      <c r="F5" s="52">
        <v>50</v>
      </c>
      <c r="H5" s="103"/>
      <c r="I5" s="22">
        <v>103082</v>
      </c>
      <c r="J5" s="22" t="s">
        <v>261</v>
      </c>
      <c r="K5" s="23">
        <v>50</v>
      </c>
      <c r="L5" s="21" t="s">
        <v>121</v>
      </c>
    </row>
    <row r="6" spans="2:12" ht="24" customHeight="1">
      <c r="B6" s="44">
        <f>IFERROR((#REF!&lt;=#REF!)*(Inventory_List_Table37[[#This Row],[Tem Estoque?]]="")*RealceValor,0)</f>
        <v>0</v>
      </c>
      <c r="F6" s="52">
        <v>50</v>
      </c>
      <c r="I6" s="22">
        <v>103084</v>
      </c>
      <c r="J6" s="22" t="s">
        <v>262</v>
      </c>
      <c r="K6" s="23">
        <v>2</v>
      </c>
      <c r="L6" s="21" t="s">
        <v>121</v>
      </c>
    </row>
    <row r="7" spans="2:12" ht="24" customHeight="1">
      <c r="B7" s="44">
        <f>IFERROR((#REF!&lt;=#REF!)*(Inventory_List_Table37[[#This Row],[Tem Estoque?]]="")*RealceValor,0)</f>
        <v>0</v>
      </c>
      <c r="F7" s="52">
        <v>150</v>
      </c>
      <c r="I7" s="22">
        <v>98784</v>
      </c>
      <c r="J7" s="22" t="s">
        <v>263</v>
      </c>
      <c r="K7" s="23">
        <v>22</v>
      </c>
      <c r="L7" s="21" t="s">
        <v>121</v>
      </c>
    </row>
    <row r="8" spans="2:12" ht="24" customHeight="1">
      <c r="B8" s="44">
        <f>IFERROR((#REF!&lt;=#REF!)*(Inventory_List_Table37[[#This Row],[Tem Estoque?]]="")*RealceValor,0)</f>
        <v>0</v>
      </c>
      <c r="F8" s="52">
        <v>50</v>
      </c>
      <c r="I8" s="22">
        <v>103083</v>
      </c>
      <c r="J8" s="22" t="s">
        <v>264</v>
      </c>
      <c r="K8" s="23">
        <v>5</v>
      </c>
      <c r="L8" s="21" t="s">
        <v>121</v>
      </c>
    </row>
    <row r="9" spans="2:12" ht="24" customHeight="1">
      <c r="B9" s="44">
        <f>IFERROR((#REF!&lt;=#REF!)*(Inventory_List_Table37[[#This Row],[Tem Estoque?]]="")*RealceValor,0)</f>
        <v>0</v>
      </c>
      <c r="F9" s="52">
        <v>50</v>
      </c>
      <c r="I9" s="22">
        <v>36707</v>
      </c>
      <c r="J9" s="22" t="s">
        <v>265</v>
      </c>
      <c r="K9" s="23">
        <v>2</v>
      </c>
      <c r="L9" s="21" t="s">
        <v>121</v>
      </c>
    </row>
    <row r="10" spans="2:12" ht="24" customHeight="1">
      <c r="B10" s="44">
        <f>IFERROR((#REF!&lt;=#REF!)*(Inventory_List_Table37[[#This Row],[Tem Estoque?]]="")*RealceValor,0)</f>
        <v>0</v>
      </c>
      <c r="F10" s="52">
        <v>150</v>
      </c>
      <c r="I10" s="22">
        <v>37785</v>
      </c>
      <c r="J10" s="22" t="s">
        <v>266</v>
      </c>
      <c r="K10" s="23">
        <v>10</v>
      </c>
      <c r="L10" s="21" t="s">
        <v>121</v>
      </c>
    </row>
    <row r="11" spans="2:12" ht="24" customHeight="1">
      <c r="B11" s="44">
        <f>IFERROR((#REF!&lt;=#REF!)*(Inventory_List_Table37[[#This Row],[Tem Estoque?]]="")*RealceValor,0)</f>
        <v>0</v>
      </c>
      <c r="F11" s="52">
        <v>100</v>
      </c>
      <c r="I11" s="22">
        <v>30668</v>
      </c>
      <c r="J11" s="22" t="s">
        <v>267</v>
      </c>
      <c r="K11" s="23">
        <v>10</v>
      </c>
      <c r="L11" s="21" t="s">
        <v>121</v>
      </c>
    </row>
    <row r="12" spans="2:12" ht="24" customHeight="1">
      <c r="B12" s="44">
        <f>IFERROR((#REF!&lt;=#REF!)*(Inventory_List_Table37[[#This Row],[Tem Estoque?]]="")*RealceValor,0)</f>
        <v>0</v>
      </c>
      <c r="F12" s="52">
        <v>100</v>
      </c>
      <c r="I12" s="22">
        <v>98775</v>
      </c>
      <c r="J12" s="22" t="s">
        <v>268</v>
      </c>
      <c r="K12" s="23">
        <v>20</v>
      </c>
      <c r="L12" s="21" t="s">
        <v>121</v>
      </c>
    </row>
    <row r="13" spans="2:12" ht="24" customHeight="1">
      <c r="B13" s="44">
        <f>IFERROR((#REF!&lt;=#REF!)*(Inventory_List_Table37[[#This Row],[Tem Estoque?]]="")*RealceValor,0)</f>
        <v>0</v>
      </c>
      <c r="F13" s="52">
        <v>150</v>
      </c>
      <c r="I13" s="22">
        <v>37719</v>
      </c>
      <c r="J13" s="22" t="s">
        <v>269</v>
      </c>
      <c r="K13" s="23">
        <v>10</v>
      </c>
      <c r="L13" s="21" t="s">
        <v>121</v>
      </c>
    </row>
    <row r="14" spans="2:12" ht="24" customHeight="1">
      <c r="B14" s="44">
        <f>IFERROR((#REF!&lt;=#REF!)*(Inventory_List_Table37[[#This Row],[Tem Estoque?]]="")*RealceValor,0)</f>
        <v>0</v>
      </c>
      <c r="F14" s="52">
        <v>150</v>
      </c>
      <c r="I14" s="22">
        <v>39223</v>
      </c>
      <c r="J14" s="22" t="s">
        <v>270</v>
      </c>
      <c r="K14" s="23">
        <v>36</v>
      </c>
      <c r="L14" s="21" t="s">
        <v>121</v>
      </c>
    </row>
    <row r="15" spans="2:12" ht="24" customHeight="1">
      <c r="B15" s="44">
        <f>IFERROR((#REF!&lt;=#REF!)*(Inventory_List_Table37[[#This Row],[Tem Estoque?]]="")*RealceValor,0)</f>
        <v>0</v>
      </c>
      <c r="F15" s="52">
        <v>100</v>
      </c>
      <c r="I15" s="22" t="s">
        <v>271</v>
      </c>
      <c r="J15" s="22" t="s">
        <v>272</v>
      </c>
      <c r="K15" s="23">
        <v>8</v>
      </c>
      <c r="L15" s="21" t="s">
        <v>121</v>
      </c>
    </row>
    <row r="16" spans="2:12" ht="24" customHeight="1">
      <c r="B16" s="44">
        <f>IFERROR((#REF!&lt;=#REF!)*(Inventory_List_Table37[[#This Row],[Tem Estoque?]]="")*RealceValor,0)</f>
        <v>0</v>
      </c>
      <c r="F16" s="52">
        <v>50</v>
      </c>
      <c r="I16" s="22">
        <v>98778</v>
      </c>
      <c r="J16" s="22" t="s">
        <v>273</v>
      </c>
      <c r="K16" s="23">
        <v>10</v>
      </c>
      <c r="L16" s="21" t="s">
        <v>121</v>
      </c>
    </row>
    <row r="17" spans="2:12" ht="24" customHeight="1">
      <c r="B17" s="44">
        <f>IFERROR((#REF!&lt;=#REF!)*(Inventory_List_Table37[[#This Row],[Tem Estoque?]]="")*RealceValor,0)</f>
        <v>0</v>
      </c>
      <c r="F17" s="52">
        <v>100</v>
      </c>
      <c r="H17" s="103"/>
      <c r="I17" s="22">
        <v>98775</v>
      </c>
      <c r="J17" s="22" t="s">
        <v>268</v>
      </c>
      <c r="K17" s="23">
        <v>30</v>
      </c>
      <c r="L17" s="21" t="s">
        <v>121</v>
      </c>
    </row>
    <row r="18" spans="2:12" ht="24" customHeight="1">
      <c r="B18" s="44">
        <f>IFERROR((#REF!&lt;=#REF!)*(Inventory_List_Table37[[#This Row],[Tem Estoque?]]="")*RealceValor,0)</f>
        <v>0</v>
      </c>
      <c r="F18" s="52">
        <v>100</v>
      </c>
      <c r="H18" s="103"/>
      <c r="I18" s="22"/>
      <c r="J18" s="22"/>
      <c r="K18" s="23"/>
      <c r="L18" s="23"/>
    </row>
    <row r="19" spans="2:12" ht="24" customHeight="1">
      <c r="B19" s="44">
        <f>IFERROR((#REF!&lt;=#REF!)*(Inventory_List_Table37[[#This Row],[Tem Estoque?]]="")*RealceValor,0)</f>
        <v>0</v>
      </c>
      <c r="F19" s="52">
        <v>50</v>
      </c>
      <c r="I19" s="22"/>
      <c r="J19" s="22"/>
      <c r="K19" s="23"/>
      <c r="L19" s="21"/>
    </row>
    <row r="20" spans="2:12" ht="24" customHeight="1">
      <c r="B20" s="44">
        <f>IFERROR((#REF!&lt;=#REF!)*(Inventory_List_Table37[[#This Row],[Tem Estoque?]]="")*RealceValor,0)</f>
        <v>0</v>
      </c>
      <c r="F20" s="52">
        <v>50</v>
      </c>
      <c r="H20" s="104"/>
      <c r="I20" s="22"/>
      <c r="J20" s="22"/>
      <c r="K20" s="23"/>
      <c r="L20" s="23"/>
    </row>
    <row r="21" spans="2:12" ht="24" customHeight="1">
      <c r="B21" s="44">
        <f>IFERROR((#REF!&lt;=#REF!)*(Inventory_List_Table37[[#This Row],[Tem Estoque?]]="")*RealceValor,0)</f>
        <v>0</v>
      </c>
      <c r="F21" s="52">
        <v>50</v>
      </c>
      <c r="G21" s="51" t="s">
        <v>143</v>
      </c>
      <c r="I21" s="22"/>
      <c r="J21" s="22"/>
      <c r="K21" s="23"/>
      <c r="L21" s="21"/>
    </row>
    <row r="22" spans="2:12" ht="24" customHeight="1">
      <c r="B22" s="44">
        <f>IFERROR((#REF!&lt;=#REF!)*(Inventory_List_Table37[[#This Row],[Tem Estoque?]]="")*RealceValor,0)</f>
        <v>0</v>
      </c>
      <c r="F22" s="52">
        <v>50</v>
      </c>
      <c r="I22" s="22"/>
      <c r="J22" s="22"/>
      <c r="K22" s="23"/>
      <c r="L22" s="38"/>
    </row>
    <row r="23" spans="2:12" ht="24" customHeight="1">
      <c r="B23" s="44">
        <f>IFERROR((#REF!&lt;=#REF!)*(Inventory_List_Table37[[#This Row],[Tem Estoque?]]="")*RealceValor,0)</f>
        <v>0</v>
      </c>
      <c r="F23" s="52">
        <v>150</v>
      </c>
      <c r="I23" s="22"/>
      <c r="J23" s="22"/>
      <c r="K23" s="23"/>
      <c r="L23" s="39"/>
    </row>
    <row r="24" spans="2:12" ht="24" customHeight="1">
      <c r="B24" s="44">
        <f>IFERROR((#REF!&lt;=#REF!)*(Inventory_List_Table37[[#This Row],[Tem Estoque?]]="")*RealceValor,0)</f>
        <v>0</v>
      </c>
      <c r="F24" s="52">
        <v>50</v>
      </c>
      <c r="I24" s="22"/>
      <c r="J24" s="22"/>
      <c r="K24" s="23"/>
      <c r="L24" s="38"/>
    </row>
    <row r="25" spans="2:12" ht="24" customHeight="1">
      <c r="B25" s="44">
        <f>IFERROR((#REF!&lt;=#REF!)*(Inventory_List_Table37[[#This Row],[Tem Estoque?]]="")*RealceValor,0)</f>
        <v>0</v>
      </c>
      <c r="F25" s="52">
        <v>50</v>
      </c>
      <c r="I25" s="19"/>
      <c r="J25" s="19"/>
      <c r="K25" s="21"/>
      <c r="L25" s="39"/>
    </row>
    <row r="26" spans="2:12" ht="24" customHeight="1">
      <c r="B26" s="44">
        <f>IFERROR((#REF!&lt;=#REF!)*(Inventory_List_Table37[[#This Row],[Tem Estoque?]]="")*RealceValor,0)</f>
        <v>0</v>
      </c>
      <c r="F26" s="52">
        <v>150</v>
      </c>
      <c r="I26" s="22"/>
      <c r="J26" s="22"/>
      <c r="K26" s="23"/>
      <c r="L26" s="23"/>
    </row>
    <row r="27" spans="2:12" ht="24" customHeight="1">
      <c r="B27" s="44">
        <f>IFERROR((#REF!&lt;=#REF!)*(Inventory_List_Table37[[#This Row],[Tem Estoque?]]="")*RealceValor,0)</f>
        <v>0</v>
      </c>
      <c r="F27" s="52">
        <v>150</v>
      </c>
      <c r="G27" s="51" t="s">
        <v>143</v>
      </c>
      <c r="I27" s="19"/>
      <c r="J27" s="19"/>
      <c r="K27" s="21"/>
      <c r="L27" s="21"/>
    </row>
    <row r="28" spans="2:12" ht="24" customHeight="1">
      <c r="B28" s="44">
        <f>IFERROR((#REF!&lt;=#REF!)*(Inventory_List_Table37[[#This Row],[Tem Estoque?]]="")*RealceValor,0)</f>
        <v>0</v>
      </c>
      <c r="F28" s="52">
        <v>100</v>
      </c>
      <c r="I28" s="22"/>
      <c r="J28" s="22"/>
      <c r="K28" s="23"/>
      <c r="L28" s="23"/>
    </row>
    <row r="29" spans="2:12" ht="24" customHeight="1">
      <c r="B29" s="44">
        <f>IFERROR((#REF!&lt;=#REF!)*(Inventory_List_Table37[[#This Row],[Tem Estoque?]]="")*RealceValor,0)</f>
        <v>0</v>
      </c>
      <c r="F29" s="52">
        <v>50</v>
      </c>
      <c r="I29" s="36"/>
      <c r="J29" s="36"/>
      <c r="K29" s="37"/>
      <c r="L29" s="37">
        <v>21</v>
      </c>
    </row>
  </sheetData>
  <mergeCells count="1">
    <mergeCell ref="I2:L2"/>
  </mergeCells>
  <conditionalFormatting sqref="B5:G29 I5:L29">
    <cfRule type="expression" dxfId="44" priority="2">
      <formula>$G5="Sim"</formula>
    </cfRule>
    <cfRule type="expression" dxfId="43" priority="3">
      <formula>$B5=1</formula>
    </cfRule>
  </conditionalFormatting>
  <dataValidations count="12"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F322234B-5205-4DA4-B5D6-5AC7D45350C8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5AA9A033-183E-4B00-B3E5-7F2BE6D54405}"/>
    <dataValidation allowBlank="1" showInputMessage="1" showErrorMessage="1" prompt="Insira a ID de estoque do item nesta coluna" sqref="I4" xr:uid="{DF52793C-FC6B-4721-B600-4D42C9C588E3}"/>
    <dataValidation allowBlank="1" showInputMessage="1" showErrorMessage="1" prompt="Insira sim se o item tiver sido descontinuado. Ao inserir Sim, a linha correspondente é realçada em cinza claro e o estilo da fonte é alterado para Tachado" sqref="G4" xr:uid="{46E3A569-49FA-4150-A8BC-741B04C110EA}"/>
    <dataValidation allowBlank="1" showInputMessage="1" showErrorMessage="1" prompt="Insira a quantidade a encomendar de cada item nesta coluna" sqref="F4" xr:uid="{83977B79-2AC5-48EF-A3E7-7DEE76B5E478}"/>
    <dataValidation allowBlank="1" showInputMessage="1" showErrorMessage="1" prompt="Insira quantos dias faltam para realizar nova encomenda de cada item nesta coluna" sqref="E4" xr:uid="{E4E540EF-E7C8-4FE0-89BA-F92408FC3D09}"/>
    <dataValidation allowBlank="1" showInputMessage="1" showErrorMessage="1" prompt="Insira a quantidade em estoque de cada item nesta coluna" sqref="K4:L4" xr:uid="{4B2F9A5E-23BE-4319-96C2-D5ABDF0583A4}"/>
    <dataValidation allowBlank="1" showInputMessage="1" showErrorMessage="1" prompt="Insira uma descrição do item nesta coluna" sqref="J4" xr:uid="{ADD8359D-F979-4593-84BC-1ECC559D27B9}"/>
    <dataValidation type="list" allowBlank="1" showInputMessage="1" showErrorMessage="1" sqref="G6:G29" xr:uid="{05BB01E6-734A-4C15-B987-9A0F3B8FC1B6}">
      <formula1>"Sim"</formula1>
    </dataValidation>
    <dataValidation type="list" allowBlank="1" showInputMessage="1" showErrorMessage="1" prompt="Selecione Sim para habilitar o realce de itens para ordenar. Isso aplica uma sinalização na coluna B e realça a linha correspondente na tabela Lista de estoque. Selecionar Não apagará os destaques e a sinalização." sqref="G3" xr:uid="{9D4FA14F-1061-48CB-8F59-3E671F432F7E}">
      <formula1>"Sim, Não"</formula1>
    </dataValidation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D9A10491-0894-40B8-BD02-913E781A84C1}"/>
    <dataValidation type="list" allowBlank="1" showInputMessage="1" showErrorMessage="1" sqref="G5" xr:uid="{C9380E8B-95E6-41A1-90E1-2F03B0D11D56}">
      <formula1>"Não"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3CA2B17-E0F1-4ED1-90B6-3EA2C78E801A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B5:D29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3956-A439-4C46-8883-B20CDD72CD1C}">
  <sheetPr>
    <tabColor rgb="FFFF0000"/>
    <pageSetUpPr fitToPage="1"/>
  </sheetPr>
  <dimension ref="B1:Q65"/>
  <sheetViews>
    <sheetView showGridLines="0" topLeftCell="A60" zoomScale="70" zoomScaleNormal="70" workbookViewId="0">
      <selection activeCell="O8" sqref="O8"/>
    </sheetView>
  </sheetViews>
  <sheetFormatPr defaultColWidth="8.77734375" defaultRowHeight="24" customHeight="1"/>
  <cols>
    <col min="1" max="1" width="1.77734375" style="4" customWidth="1"/>
    <col min="2" max="4" width="12.5546875" style="3" hidden="1" customWidth="1"/>
    <col min="5" max="5" width="11.6640625" style="6" customWidth="1"/>
    <col min="6" max="6" width="52" style="6" customWidth="1"/>
    <col min="7" max="7" width="23.109375" style="8" customWidth="1"/>
    <col min="8" max="8" width="10.88671875" style="8" hidden="1" customWidth="1"/>
    <col min="9" max="9" width="12.77734375" style="8" hidden="1" customWidth="1"/>
    <col min="10" max="10" width="14.33203125" style="8" hidden="1" customWidth="1"/>
    <col min="11" max="11" width="7.6640625" style="6" hidden="1" customWidth="1"/>
    <col min="12" max="12" width="16.77734375" style="4" customWidth="1"/>
    <col min="13" max="13" width="8.77734375" style="4"/>
    <col min="14" max="14" width="8.77734375" style="14"/>
    <col min="15" max="15" width="54.88671875" style="14" bestFit="1" customWidth="1"/>
    <col min="16" max="16" width="11.109375" style="14" customWidth="1"/>
    <col min="17" max="17" width="8.77734375" style="14"/>
    <col min="18" max="16384" width="8.77734375" style="4"/>
  </cols>
  <sheetData>
    <row r="1" spans="2:12" s="1" customFormat="1" ht="116.25" customHeight="1">
      <c r="B1" s="2"/>
      <c r="C1" s="2"/>
      <c r="D1" s="2"/>
      <c r="E1" s="5"/>
      <c r="F1" s="5"/>
      <c r="G1" s="7"/>
      <c r="H1" s="7"/>
      <c r="I1" s="7"/>
      <c r="L1" s="1" t="s">
        <v>138</v>
      </c>
    </row>
    <row r="2" spans="2:12" s="1" customFormat="1" ht="116.25" customHeight="1">
      <c r="B2" s="2"/>
      <c r="C2" s="2"/>
      <c r="D2" s="2"/>
      <c r="E2" s="146" t="s">
        <v>274</v>
      </c>
      <c r="F2" s="146"/>
      <c r="G2" s="146"/>
      <c r="H2" s="146"/>
      <c r="I2" s="146"/>
      <c r="J2" s="146"/>
      <c r="K2" s="146"/>
      <c r="L2" s="146"/>
    </row>
    <row r="3" spans="2:12" ht="23.25" customHeight="1">
      <c r="E3" s="10"/>
      <c r="F3" s="10"/>
      <c r="G3" s="11"/>
      <c r="H3" s="11"/>
      <c r="I3" s="11"/>
      <c r="J3" s="12" t="s">
        <v>142</v>
      </c>
      <c r="K3" s="13" t="s">
        <v>143</v>
      </c>
    </row>
    <row r="4" spans="2:12" s="3" customFormat="1" ht="50.1" customHeight="1">
      <c r="B4" s="9" t="s">
        <v>3</v>
      </c>
      <c r="C4" s="9" t="s">
        <v>4</v>
      </c>
      <c r="D4" s="9" t="s">
        <v>5</v>
      </c>
      <c r="E4" s="9" t="s">
        <v>6</v>
      </c>
      <c r="F4" s="9" t="s">
        <v>275</v>
      </c>
      <c r="G4" s="9" t="s">
        <v>115</v>
      </c>
      <c r="H4" s="9" t="s">
        <v>276</v>
      </c>
      <c r="I4" s="9" t="s">
        <v>277</v>
      </c>
      <c r="J4" s="9" t="s">
        <v>278</v>
      </c>
      <c r="K4" s="9" t="s">
        <v>279</v>
      </c>
      <c r="L4" s="9" t="s">
        <v>8</v>
      </c>
    </row>
    <row r="5" spans="2:12" ht="24" customHeight="1">
      <c r="B5" s="3">
        <f>IFERROR((Inventory_List_Table45[[#This Row],[Quantidade]]&lt;=Inventory_List_Table45[[#This Row],[Quantidade2]])*(Inventory_List_Table45[[#This Row],[Quantidade5]]="")*RealceValor,0)</f>
        <v>0</v>
      </c>
      <c r="E5" s="85">
        <v>71332</v>
      </c>
      <c r="F5" s="99" t="s">
        <v>280</v>
      </c>
      <c r="G5" s="97">
        <v>40</v>
      </c>
      <c r="H5" s="99"/>
      <c r="I5" s="99"/>
      <c r="J5" s="86"/>
      <c r="K5" s="87">
        <v>40</v>
      </c>
      <c r="L5" s="27" t="s">
        <v>281</v>
      </c>
    </row>
    <row r="6" spans="2:12" ht="24" customHeight="1">
      <c r="B6" s="3">
        <f>IFERROR((Inventory_List_Table45[[#This Row],[Quantidade]]&lt;=Inventory_List_Table45[[#This Row],[Quantidade2]])*(Inventory_List_Table45[[#This Row],[Quantidade5]]="")*RealceValor,0)</f>
        <v>0</v>
      </c>
      <c r="E6" s="67">
        <v>71331</v>
      </c>
      <c r="F6" s="77" t="s">
        <v>282</v>
      </c>
      <c r="G6" s="98">
        <v>46</v>
      </c>
      <c r="H6" s="77"/>
      <c r="I6" s="77"/>
      <c r="J6" s="76"/>
      <c r="K6" s="71">
        <v>46</v>
      </c>
      <c r="L6" s="27" t="s">
        <v>281</v>
      </c>
    </row>
    <row r="7" spans="2:12" ht="24" customHeight="1">
      <c r="B7" s="3">
        <f>IFERROR((Inventory_List_Table45[[#This Row],[Quantidade]]&lt;=Inventory_List_Table45[[#This Row],[Quantidade2]])*(Inventory_List_Table45[[#This Row],[Quantidade5]]="")*RealceValor,0)</f>
        <v>0</v>
      </c>
      <c r="E7" s="67">
        <v>15295</v>
      </c>
      <c r="F7" s="77" t="s">
        <v>283</v>
      </c>
      <c r="G7" s="98">
        <v>8</v>
      </c>
      <c r="H7" s="77"/>
      <c r="I7" s="77"/>
      <c r="J7" s="76"/>
      <c r="K7" s="71">
        <v>8</v>
      </c>
      <c r="L7" s="27" t="s">
        <v>281</v>
      </c>
    </row>
    <row r="8" spans="2:12" ht="24" customHeight="1">
      <c r="B8" s="3">
        <f>IFERROR((Inventory_List_Table45[[#This Row],[Quantidade]]&lt;=Inventory_List_Table45[[#This Row],[Quantidade2]])*(Inventory_List_Table45[[#This Row],[Quantidade5]]="")*RealceValor,0)</f>
        <v>0</v>
      </c>
      <c r="E8" s="67">
        <v>71330</v>
      </c>
      <c r="F8" s="77" t="s">
        <v>284</v>
      </c>
      <c r="G8" s="98">
        <v>2</v>
      </c>
      <c r="H8" s="77"/>
      <c r="I8" s="77"/>
      <c r="J8" s="76"/>
      <c r="K8" s="71">
        <v>2</v>
      </c>
      <c r="L8" s="27" t="s">
        <v>281</v>
      </c>
    </row>
    <row r="9" spans="2:12" ht="24" customHeight="1">
      <c r="B9" s="3">
        <f>IFERROR((Inventory_List_Table45[[#This Row],[Quantidade]]&lt;=Inventory_List_Table45[[#This Row],[Quantidade2]])*(Inventory_List_Table45[[#This Row],[Quantidade5]]="")*RealceValor,0)</f>
        <v>0</v>
      </c>
      <c r="E9" s="67">
        <v>76067</v>
      </c>
      <c r="F9" s="77" t="s">
        <v>285</v>
      </c>
      <c r="G9" s="98">
        <v>12</v>
      </c>
      <c r="H9" s="77"/>
      <c r="I9" s="77"/>
      <c r="J9" s="76"/>
      <c r="K9" s="71">
        <v>12</v>
      </c>
      <c r="L9" s="27" t="s">
        <v>281</v>
      </c>
    </row>
    <row r="10" spans="2:12" ht="24" customHeight="1">
      <c r="B10" s="3">
        <f>IFERROR((Inventory_List_Table45[[#This Row],[Quantidade]]&lt;=Inventory_List_Table45[[#This Row],[Quantidade2]])*(Inventory_List_Table45[[#This Row],[Quantidade5]]="")*RealceValor,0)</f>
        <v>0</v>
      </c>
      <c r="E10" s="67">
        <v>80419</v>
      </c>
      <c r="F10" s="77" t="s">
        <v>286</v>
      </c>
      <c r="G10" s="98">
        <v>5</v>
      </c>
      <c r="H10" s="77"/>
      <c r="I10" s="77"/>
      <c r="J10" s="76"/>
      <c r="K10" s="71">
        <v>5</v>
      </c>
      <c r="L10" s="27" t="s">
        <v>281</v>
      </c>
    </row>
    <row r="11" spans="2:12" ht="24" customHeight="1">
      <c r="B11" s="3">
        <f>IFERROR((Inventory_List_Table45[[#This Row],[Quantidade]]&lt;=Inventory_List_Table45[[#This Row],[Quantidade2]])*(Inventory_List_Table45[[#This Row],[Quantidade5]]="")*RealceValor,0)</f>
        <v>0</v>
      </c>
      <c r="E11" s="67">
        <v>27045</v>
      </c>
      <c r="F11" s="77" t="s">
        <v>287</v>
      </c>
      <c r="G11" s="98">
        <v>2</v>
      </c>
      <c r="H11" s="77"/>
      <c r="I11" s="77"/>
      <c r="J11" s="76"/>
      <c r="K11" s="71">
        <v>2</v>
      </c>
      <c r="L11" s="27" t="s">
        <v>281</v>
      </c>
    </row>
    <row r="12" spans="2:12" ht="24" customHeight="1">
      <c r="B12" s="3">
        <f>IFERROR((Inventory_List_Table45[[#This Row],[Quantidade]]&lt;=Inventory_List_Table45[[#This Row],[Quantidade2]])*(Inventory_List_Table45[[#This Row],[Quantidade5]]="")*RealceValor,0)</f>
        <v>0</v>
      </c>
      <c r="E12" s="67">
        <v>63639</v>
      </c>
      <c r="F12" s="77" t="s">
        <v>288</v>
      </c>
      <c r="G12" s="98">
        <v>5</v>
      </c>
      <c r="H12" s="77"/>
      <c r="I12" s="77"/>
      <c r="J12" s="76"/>
      <c r="K12" s="71">
        <v>5</v>
      </c>
      <c r="L12" s="27" t="s">
        <v>281</v>
      </c>
    </row>
    <row r="13" spans="2:12" ht="24" customHeight="1">
      <c r="B13" s="3">
        <f>IFERROR((Inventory_List_Table45[[#This Row],[Quantidade]]&lt;=Inventory_List_Table45[[#This Row],[Quantidade2]])*(Inventory_List_Table45[[#This Row],[Quantidade5]]="")*RealceValor,0)</f>
        <v>0</v>
      </c>
      <c r="E13" s="67">
        <v>79354</v>
      </c>
      <c r="F13" s="77" t="s">
        <v>289</v>
      </c>
      <c r="G13" s="98">
        <v>10</v>
      </c>
      <c r="H13" s="77"/>
      <c r="I13" s="77"/>
      <c r="J13" s="76"/>
      <c r="K13" s="71">
        <v>10</v>
      </c>
      <c r="L13" s="27" t="s">
        <v>281</v>
      </c>
    </row>
    <row r="14" spans="2:12" ht="24" customHeight="1">
      <c r="B14" s="3">
        <f>IFERROR((Inventory_List_Table45[[#This Row],[Quantidade]]&lt;=Inventory_List_Table45[[#This Row],[Quantidade2]])*(Inventory_List_Table45[[#This Row],[Quantidade5]]="")*RealceValor,0)</f>
        <v>0</v>
      </c>
      <c r="E14" s="67">
        <v>42307</v>
      </c>
      <c r="F14" s="77" t="s">
        <v>290</v>
      </c>
      <c r="G14" s="98">
        <v>4</v>
      </c>
      <c r="H14" s="77"/>
      <c r="I14" s="77"/>
      <c r="J14" s="76"/>
      <c r="K14" s="71">
        <v>4</v>
      </c>
      <c r="L14" s="27" t="s">
        <v>281</v>
      </c>
    </row>
    <row r="15" spans="2:12" ht="24" customHeight="1">
      <c r="B15" s="3">
        <f>IFERROR((Inventory_List_Table45[[#This Row],[Quantidade]]&lt;=Inventory_List_Table45[[#This Row],[Quantidade2]])*(Inventory_List_Table45[[#This Row],[Quantidade5]]="")*RealceValor,0)</f>
        <v>0</v>
      </c>
      <c r="E15" s="67">
        <v>17594</v>
      </c>
      <c r="F15" s="77" t="s">
        <v>106</v>
      </c>
      <c r="G15" s="98">
        <v>2</v>
      </c>
      <c r="H15" s="77"/>
      <c r="I15" s="77"/>
      <c r="J15" s="76"/>
      <c r="K15" s="71">
        <v>2</v>
      </c>
      <c r="L15" s="27" t="s">
        <v>281</v>
      </c>
    </row>
    <row r="16" spans="2:12" ht="24" customHeight="1">
      <c r="B16" s="3">
        <f>IFERROR((Inventory_List_Table45[[#This Row],[Quantidade]]&lt;=Inventory_List_Table45[[#This Row],[Quantidade2]])*(Inventory_List_Table45[[#This Row],[Quantidade5]]="")*RealceValor,0)</f>
        <v>0</v>
      </c>
      <c r="E16" s="67">
        <v>27449</v>
      </c>
      <c r="F16" s="77" t="s">
        <v>291</v>
      </c>
      <c r="G16" s="98">
        <v>5</v>
      </c>
      <c r="H16" s="77"/>
      <c r="I16" s="77"/>
      <c r="J16" s="76"/>
      <c r="K16" s="71">
        <v>5</v>
      </c>
      <c r="L16" s="27" t="s">
        <v>281</v>
      </c>
    </row>
    <row r="17" spans="2:12" ht="24" customHeight="1">
      <c r="B17" s="3">
        <f>IFERROR((Inventory_List_Table45[[#This Row],[Quantidade]]&lt;=Inventory_List_Table45[[#This Row],[Quantidade2]])*(Inventory_List_Table45[[#This Row],[Quantidade5]]="")*RealceValor,0)</f>
        <v>0</v>
      </c>
      <c r="E17" s="67">
        <v>26294</v>
      </c>
      <c r="F17" s="77" t="s">
        <v>103</v>
      </c>
      <c r="G17" s="98">
        <v>16</v>
      </c>
      <c r="H17" s="77"/>
      <c r="I17" s="77"/>
      <c r="J17" s="76"/>
      <c r="K17" s="71">
        <v>16</v>
      </c>
      <c r="L17" s="27" t="s">
        <v>281</v>
      </c>
    </row>
    <row r="18" spans="2:12" ht="24" customHeight="1">
      <c r="B18" s="3">
        <f>IFERROR((Inventory_List_Table45[[#This Row],[Quantidade]]&lt;=Inventory_List_Table45[[#This Row],[Quantidade2]])*(Inventory_List_Table45[[#This Row],[Quantidade5]]="")*RealceValor,0)</f>
        <v>0</v>
      </c>
      <c r="E18" s="67">
        <v>42308</v>
      </c>
      <c r="F18" s="77" t="s">
        <v>292</v>
      </c>
      <c r="G18" s="98">
        <v>3</v>
      </c>
      <c r="H18" s="77"/>
      <c r="I18" s="77"/>
      <c r="J18" s="76"/>
      <c r="K18" s="71">
        <v>3</v>
      </c>
      <c r="L18" s="27" t="s">
        <v>281</v>
      </c>
    </row>
    <row r="19" spans="2:12" ht="24" customHeight="1">
      <c r="B19" s="3">
        <f>IFERROR((Inventory_List_Table45[[#This Row],[Quantidade]]&lt;=Inventory_List_Table45[[#This Row],[Quantidade2]])*(Inventory_List_Table45[[#This Row],[Quantidade5]]="")*RealceValor,0)</f>
        <v>0</v>
      </c>
      <c r="E19" s="67">
        <v>90119</v>
      </c>
      <c r="F19" s="77" t="s">
        <v>293</v>
      </c>
      <c r="G19" s="98">
        <v>14</v>
      </c>
      <c r="H19" s="77"/>
      <c r="I19" s="77"/>
      <c r="J19" s="76"/>
      <c r="K19" s="71">
        <v>14</v>
      </c>
      <c r="L19" s="27" t="s">
        <v>281</v>
      </c>
    </row>
    <row r="20" spans="2:12" ht="24" customHeight="1">
      <c r="B20" s="3">
        <f>IFERROR((Inventory_List_Table45[[#This Row],[Quantidade]]&lt;=Inventory_List_Table45[[#This Row],[Quantidade2]])*(Inventory_List_Table45[[#This Row],[Quantidade5]]="")*RealceValor,0)</f>
        <v>0</v>
      </c>
      <c r="E20" s="67">
        <v>21129</v>
      </c>
      <c r="F20" s="77" t="s">
        <v>294</v>
      </c>
      <c r="G20" s="98">
        <v>7</v>
      </c>
      <c r="H20" s="77"/>
      <c r="I20" s="77"/>
      <c r="J20" s="76"/>
      <c r="K20" s="71">
        <v>7</v>
      </c>
      <c r="L20" s="27" t="s">
        <v>281</v>
      </c>
    </row>
    <row r="21" spans="2:12" ht="24" customHeight="1">
      <c r="B21" s="3">
        <f>IFERROR((Inventory_List_Table45[[#This Row],[Quantidade]]&lt;=Inventory_List_Table45[[#This Row],[Quantidade2]])*(Inventory_List_Table45[[#This Row],[Quantidade5]]="")*RealceValor,0)</f>
        <v>0</v>
      </c>
      <c r="E21" s="67">
        <v>18695</v>
      </c>
      <c r="F21" s="77" t="s">
        <v>102</v>
      </c>
      <c r="G21" s="98">
        <v>10</v>
      </c>
      <c r="H21" s="77"/>
      <c r="I21" s="77"/>
      <c r="J21" s="76"/>
      <c r="K21" s="71">
        <v>10</v>
      </c>
      <c r="L21" s="27" t="s">
        <v>281</v>
      </c>
    </row>
    <row r="22" spans="2:12" ht="24" customHeight="1">
      <c r="B22" s="3">
        <f>IFERROR((Inventory_List_Table45[[#This Row],[Quantidade]]&lt;=Inventory_List_Table45[[#This Row],[Quantidade2]])*(Inventory_List_Table45[[#This Row],[Quantidade5]]="")*RealceValor,0)</f>
        <v>0</v>
      </c>
      <c r="E22" s="67">
        <v>19458</v>
      </c>
      <c r="F22" s="77" t="s">
        <v>295</v>
      </c>
      <c r="G22" s="98">
        <v>12</v>
      </c>
      <c r="H22" s="77"/>
      <c r="I22" s="77"/>
      <c r="J22" s="76"/>
      <c r="K22" s="71">
        <v>12</v>
      </c>
      <c r="L22" s="27" t="s">
        <v>281</v>
      </c>
    </row>
    <row r="23" spans="2:12" ht="24" customHeight="1">
      <c r="B23" s="3">
        <f>IFERROR((Inventory_List_Table45[[#This Row],[Quantidade]]&lt;=Inventory_List_Table45[[#This Row],[Quantidade2]])*(Inventory_List_Table45[[#This Row],[Quantidade5]]="")*RealceValor,0)</f>
        <v>0</v>
      </c>
      <c r="E23" s="67">
        <v>65850</v>
      </c>
      <c r="F23" s="77" t="s">
        <v>296</v>
      </c>
      <c r="G23" s="98">
        <v>5</v>
      </c>
      <c r="H23" s="77"/>
      <c r="I23" s="77"/>
      <c r="J23" s="76"/>
      <c r="K23" s="71">
        <v>5</v>
      </c>
      <c r="L23" s="27" t="s">
        <v>281</v>
      </c>
    </row>
    <row r="24" spans="2:12" ht="24" customHeight="1">
      <c r="B24" s="3">
        <f>IFERROR((Inventory_List_Table45[[#This Row],[Quantidade]]&lt;=Inventory_List_Table45[[#This Row],[Quantidade2]])*(Inventory_List_Table45[[#This Row],[Quantidade5]]="")*RealceValor,0)</f>
        <v>0</v>
      </c>
      <c r="E24" s="67">
        <v>26178</v>
      </c>
      <c r="F24" s="77" t="s">
        <v>297</v>
      </c>
      <c r="G24" s="98">
        <v>2</v>
      </c>
      <c r="H24" s="77"/>
      <c r="I24" s="77"/>
      <c r="J24" s="76"/>
      <c r="K24" s="71">
        <v>2</v>
      </c>
      <c r="L24" s="27" t="s">
        <v>281</v>
      </c>
    </row>
    <row r="25" spans="2:12" ht="24" customHeight="1">
      <c r="B25" s="3">
        <f>IFERROR((Inventory_List_Table45[[#This Row],[Quantidade]]&lt;=Inventory_List_Table45[[#This Row],[Quantidade2]])*(Inventory_List_Table45[[#This Row],[Quantidade5]]="")*RealceValor,0)</f>
        <v>0</v>
      </c>
      <c r="E25" s="67">
        <v>87138</v>
      </c>
      <c r="F25" s="77" t="s">
        <v>298</v>
      </c>
      <c r="G25" s="98">
        <v>4</v>
      </c>
      <c r="H25" s="77"/>
      <c r="I25" s="77"/>
      <c r="J25" s="76"/>
      <c r="K25" s="71">
        <v>4</v>
      </c>
      <c r="L25" s="27" t="s">
        <v>281</v>
      </c>
    </row>
    <row r="26" spans="2:12" ht="24" customHeight="1">
      <c r="B26" s="3">
        <f>IFERROR((Inventory_List_Table45[[#This Row],[Quantidade]]&lt;=Inventory_List_Table45[[#This Row],[Quantidade2]])*(Inventory_List_Table45[[#This Row],[Quantidade5]]="")*RealceValor,0)</f>
        <v>0</v>
      </c>
      <c r="E26" s="67">
        <v>16881</v>
      </c>
      <c r="F26" s="77" t="s">
        <v>299</v>
      </c>
      <c r="G26" s="98">
        <v>30</v>
      </c>
      <c r="H26" s="77"/>
      <c r="I26" s="77"/>
      <c r="J26" s="76"/>
      <c r="K26" s="71">
        <v>30</v>
      </c>
      <c r="L26" s="27" t="s">
        <v>281</v>
      </c>
    </row>
    <row r="27" spans="2:12" ht="24" customHeight="1">
      <c r="B27" s="3">
        <f>IFERROR((Inventory_List_Table45[[#This Row],[Quantidade]]&lt;=Inventory_List_Table45[[#This Row],[Quantidade2]])*(Inventory_List_Table45[[#This Row],[Quantidade5]]="")*RealceValor,0)</f>
        <v>0</v>
      </c>
      <c r="E27" s="67">
        <v>28268</v>
      </c>
      <c r="F27" s="77" t="s">
        <v>99</v>
      </c>
      <c r="G27" s="98">
        <v>2</v>
      </c>
      <c r="H27" s="77"/>
      <c r="I27" s="77"/>
      <c r="J27" s="76"/>
      <c r="K27" s="71">
        <v>2</v>
      </c>
      <c r="L27" s="27" t="s">
        <v>281</v>
      </c>
    </row>
    <row r="28" spans="2:12" ht="24" customHeight="1">
      <c r="B28" s="3">
        <f>IFERROR((Inventory_List_Table45[[#This Row],[Quantidade]]&lt;=Inventory_List_Table45[[#This Row],[Quantidade2]])*(Inventory_List_Table45[[#This Row],[Quantidade5]]="")*RealceValor,0)</f>
        <v>0</v>
      </c>
      <c r="E28" s="67">
        <v>26492</v>
      </c>
      <c r="F28" s="77" t="s">
        <v>17</v>
      </c>
      <c r="G28" s="98">
        <v>4</v>
      </c>
      <c r="H28" s="77"/>
      <c r="I28" s="77"/>
      <c r="J28" s="76"/>
      <c r="K28" s="71">
        <v>4</v>
      </c>
      <c r="L28" s="27" t="s">
        <v>281</v>
      </c>
    </row>
    <row r="29" spans="2:12" ht="24" customHeight="1">
      <c r="B29" s="3">
        <f>IFERROR((Inventory_List_Table45[[#This Row],[Quantidade]]&lt;=Inventory_List_Table45[[#This Row],[Quantidade2]])*(Inventory_List_Table45[[#This Row],[Quantidade5]]="")*RealceValor,0)</f>
        <v>0</v>
      </c>
      <c r="E29" s="67">
        <v>37713</v>
      </c>
      <c r="F29" s="77" t="s">
        <v>300</v>
      </c>
      <c r="G29" s="98">
        <v>10</v>
      </c>
      <c r="H29" s="77"/>
      <c r="I29" s="77"/>
      <c r="J29" s="76"/>
      <c r="K29" s="71">
        <v>10</v>
      </c>
      <c r="L29" s="27" t="s">
        <v>281</v>
      </c>
    </row>
    <row r="30" spans="2:12" ht="24" customHeight="1">
      <c r="B30" s="24">
        <f>IFERROR((Inventory_List_Table45[[#This Row],[Quantidade]]&lt;=Inventory_List_Table45[[#This Row],[Quantidade2]])*(Inventory_List_Table45[[#This Row],[Quantidade5]]="")*RealceValor,0)</f>
        <v>0</v>
      </c>
      <c r="E30" s="67">
        <v>54620</v>
      </c>
      <c r="F30" s="77" t="s">
        <v>301</v>
      </c>
      <c r="G30" s="98">
        <v>12</v>
      </c>
      <c r="H30" s="77"/>
      <c r="I30" s="77"/>
      <c r="J30" s="76"/>
      <c r="K30" s="71">
        <v>12</v>
      </c>
      <c r="L30" s="27" t="s">
        <v>281</v>
      </c>
    </row>
    <row r="31" spans="2:12" ht="24" customHeight="1">
      <c r="B31" s="24">
        <f>IFERROR((Inventory_List_Table45[[#This Row],[Quantidade]]&lt;=Inventory_List_Table45[[#This Row],[Quantidade2]])*(Inventory_List_Table45[[#This Row],[Quantidade5]]="")*RealceValor,0)</f>
        <v>0</v>
      </c>
      <c r="E31" s="67">
        <v>81484</v>
      </c>
      <c r="F31" s="77" t="s">
        <v>36</v>
      </c>
      <c r="G31" s="98">
        <v>25</v>
      </c>
      <c r="H31" s="77"/>
      <c r="I31" s="77"/>
      <c r="J31" s="76"/>
      <c r="K31" s="71">
        <v>25</v>
      </c>
      <c r="L31" s="27" t="s">
        <v>281</v>
      </c>
    </row>
    <row r="32" spans="2:12" ht="24" customHeight="1">
      <c r="B32" s="24">
        <f>IFERROR((Inventory_List_Table45[[#This Row],[Quantidade]]&lt;=Inventory_List_Table45[[#This Row],[Quantidade2]])*(Inventory_List_Table45[[#This Row],[Quantidade5]]="")*RealceValor,0)</f>
        <v>0</v>
      </c>
      <c r="E32" s="67">
        <v>71553</v>
      </c>
      <c r="F32" s="77" t="s">
        <v>28</v>
      </c>
      <c r="G32" s="98">
        <v>25</v>
      </c>
      <c r="H32" s="77"/>
      <c r="I32" s="77"/>
      <c r="J32" s="76"/>
      <c r="K32" s="71">
        <v>25</v>
      </c>
      <c r="L32" s="27" t="s">
        <v>281</v>
      </c>
    </row>
    <row r="33" spans="2:12" ht="24" customHeight="1">
      <c r="B33" s="24">
        <f>IFERROR((Inventory_List_Table45[[#This Row],[Quantidade]]&lt;=Inventory_List_Table45[[#This Row],[Quantidade2]])*(Inventory_List_Table45[[#This Row],[Quantidade5]]="")*RealceValor,0)</f>
        <v>0</v>
      </c>
      <c r="E33" s="67">
        <v>19896</v>
      </c>
      <c r="F33" s="77" t="s">
        <v>26</v>
      </c>
      <c r="G33" s="98">
        <v>10</v>
      </c>
      <c r="H33" s="77"/>
      <c r="I33" s="77"/>
      <c r="J33" s="76"/>
      <c r="K33" s="71">
        <v>10</v>
      </c>
      <c r="L33" s="27" t="s">
        <v>281</v>
      </c>
    </row>
    <row r="34" spans="2:12" ht="24" customHeight="1">
      <c r="B34" s="24">
        <f>IFERROR((Inventory_List_Table45[[#This Row],[Quantidade]]&lt;=Inventory_List_Table45[[#This Row],[Quantidade2]])*(Inventory_List_Table45[[#This Row],[Quantidade5]]="")*RealceValor,0)</f>
        <v>0</v>
      </c>
      <c r="E34" s="67">
        <v>90122</v>
      </c>
      <c r="F34" s="77" t="s">
        <v>302</v>
      </c>
      <c r="G34" s="98">
        <v>2</v>
      </c>
      <c r="H34" s="77"/>
      <c r="I34" s="77"/>
      <c r="J34" s="76"/>
      <c r="K34" s="71">
        <v>2</v>
      </c>
      <c r="L34" s="27" t="s">
        <v>281</v>
      </c>
    </row>
    <row r="35" spans="2:12" ht="24" customHeight="1">
      <c r="B35" s="24">
        <f>IFERROR((Inventory_List_Table45[[#This Row],[Quantidade]]&lt;=Inventory_List_Table45[[#This Row],[Quantidade2]])*(Inventory_List_Table45[[#This Row],[Quantidade5]]="")*RealceValor,0)</f>
        <v>0</v>
      </c>
      <c r="E35" s="67">
        <v>32404</v>
      </c>
      <c r="F35" s="77" t="s">
        <v>303</v>
      </c>
      <c r="G35" s="98">
        <v>1</v>
      </c>
      <c r="H35" s="77"/>
      <c r="I35" s="77"/>
      <c r="J35" s="76"/>
      <c r="K35" s="71">
        <v>1</v>
      </c>
      <c r="L35" s="27" t="s">
        <v>281</v>
      </c>
    </row>
    <row r="36" spans="2:12" ht="24" customHeight="1">
      <c r="B36" s="24">
        <f>IFERROR((Inventory_List_Table45[[#This Row],[Quantidade]]&lt;=Inventory_List_Table45[[#This Row],[Quantidade2]])*(Inventory_List_Table45[[#This Row],[Quantidade5]]="")*RealceValor,0)</f>
        <v>0</v>
      </c>
      <c r="E36" s="67">
        <v>80277</v>
      </c>
      <c r="F36" s="77" t="s">
        <v>304</v>
      </c>
      <c r="G36" s="98">
        <v>4</v>
      </c>
      <c r="H36" s="77"/>
      <c r="I36" s="77"/>
      <c r="J36" s="76"/>
      <c r="K36" s="71">
        <v>4</v>
      </c>
      <c r="L36" s="27" t="s">
        <v>281</v>
      </c>
    </row>
    <row r="37" spans="2:12" ht="24" customHeight="1">
      <c r="B37" s="24">
        <f>IFERROR((Inventory_List_Table45[[#This Row],[Quantidade]]&lt;=Inventory_List_Table45[[#This Row],[Quantidade2]])*(Inventory_List_Table45[[#This Row],[Quantidade5]]="")*RealceValor,0)</f>
        <v>0</v>
      </c>
      <c r="E37" s="67">
        <v>16772</v>
      </c>
      <c r="F37" s="77" t="s">
        <v>305</v>
      </c>
      <c r="G37" s="98">
        <v>2</v>
      </c>
      <c r="H37" s="77"/>
      <c r="I37" s="77"/>
      <c r="J37" s="76"/>
      <c r="K37" s="71">
        <v>2</v>
      </c>
      <c r="L37" s="27" t="s">
        <v>281</v>
      </c>
    </row>
    <row r="38" spans="2:12" ht="24" customHeight="1">
      <c r="B38" s="24">
        <f>IFERROR((Inventory_List_Table45[[#This Row],[Quantidade]]&lt;=Inventory_List_Table45[[#This Row],[Quantidade2]])*(Inventory_List_Table45[[#This Row],[Quantidade5]]="")*RealceValor,0)</f>
        <v>0</v>
      </c>
      <c r="E38" s="67">
        <v>27288</v>
      </c>
      <c r="F38" s="77" t="s">
        <v>306</v>
      </c>
      <c r="G38" s="98">
        <v>12</v>
      </c>
      <c r="H38" s="77"/>
      <c r="I38" s="77"/>
      <c r="J38" s="76"/>
      <c r="K38" s="71">
        <v>12</v>
      </c>
      <c r="L38" s="27" t="s">
        <v>281</v>
      </c>
    </row>
    <row r="39" spans="2:12" ht="24" customHeight="1">
      <c r="B39" s="24">
        <f>IFERROR((Inventory_List_Table45[[#This Row],[Quantidade]]&lt;=Inventory_List_Table45[[#This Row],[Quantidade2]])*(Inventory_List_Table45[[#This Row],[Quantidade5]]="")*RealceValor,0)</f>
        <v>0</v>
      </c>
      <c r="E39" s="67">
        <v>34953</v>
      </c>
      <c r="F39" s="77" t="s">
        <v>307</v>
      </c>
      <c r="G39" s="98">
        <v>8</v>
      </c>
      <c r="H39" s="77"/>
      <c r="I39" s="77"/>
      <c r="J39" s="76"/>
      <c r="K39" s="71">
        <v>8</v>
      </c>
      <c r="L39" s="27" t="s">
        <v>281</v>
      </c>
    </row>
    <row r="40" spans="2:12" ht="24" customHeight="1">
      <c r="B40" s="24">
        <f>IFERROR((Inventory_List_Table45[[#This Row],[Quantidade]]&lt;=Inventory_List_Table45[[#This Row],[Quantidade2]])*(Inventory_List_Table45[[#This Row],[Quantidade5]]="")*RealceValor,0)</f>
        <v>0</v>
      </c>
      <c r="E40" s="67">
        <v>90117</v>
      </c>
      <c r="F40" s="77" t="s">
        <v>308</v>
      </c>
      <c r="G40" s="98">
        <v>16</v>
      </c>
      <c r="H40" s="77"/>
      <c r="I40" s="77"/>
      <c r="J40" s="76"/>
      <c r="K40" s="71">
        <v>16</v>
      </c>
      <c r="L40" s="27" t="s">
        <v>281</v>
      </c>
    </row>
    <row r="41" spans="2:12" ht="24" customHeight="1">
      <c r="B41" s="24">
        <f>IFERROR((Inventory_List_Table45[[#This Row],[Quantidade]]&lt;=Inventory_List_Table45[[#This Row],[Quantidade2]])*(Inventory_List_Table45[[#This Row],[Quantidade5]]="")*RealceValor,0)</f>
        <v>0</v>
      </c>
      <c r="E41" s="100">
        <v>37873</v>
      </c>
      <c r="F41" s="77" t="s">
        <v>309</v>
      </c>
      <c r="G41" s="100">
        <v>10</v>
      </c>
      <c r="H41" s="77"/>
      <c r="I41" s="77"/>
      <c r="J41" s="76"/>
      <c r="K41" s="73">
        <v>10</v>
      </c>
      <c r="L41" s="27" t="s">
        <v>281</v>
      </c>
    </row>
    <row r="42" spans="2:12" ht="24" customHeight="1">
      <c r="B42" s="24">
        <f>IFERROR((Inventory_List_Table45[[#This Row],[Quantidade]]&lt;=Inventory_List_Table45[[#This Row],[Quantidade2]])*(Inventory_List_Table45[[#This Row],[Quantidade5]]="")*RealceValor,0)</f>
        <v>0</v>
      </c>
      <c r="E42" s="100">
        <v>90121</v>
      </c>
      <c r="F42" s="77" t="s">
        <v>310</v>
      </c>
      <c r="G42" s="100">
        <v>2</v>
      </c>
      <c r="H42" s="77"/>
      <c r="I42" s="77"/>
      <c r="J42" s="76"/>
      <c r="K42" s="73">
        <v>2</v>
      </c>
      <c r="L42" s="27" t="s">
        <v>281</v>
      </c>
    </row>
    <row r="43" spans="2:12" ht="24" customHeight="1">
      <c r="B43" s="24">
        <f>IFERROR((Inventory_List_Table45[[#This Row],[Quantidade]]&lt;=Inventory_List_Table45[[#This Row],[Quantidade2]])*(Inventory_List_Table45[[#This Row],[Quantidade5]]="")*RealceValor,0)</f>
        <v>0</v>
      </c>
      <c r="E43" s="100">
        <v>21233</v>
      </c>
      <c r="F43" s="77" t="s">
        <v>311</v>
      </c>
      <c r="G43" s="100">
        <v>1</v>
      </c>
      <c r="H43" s="77"/>
      <c r="I43" s="77"/>
      <c r="J43" s="76"/>
      <c r="K43" s="73">
        <v>1</v>
      </c>
      <c r="L43" s="27" t="s">
        <v>281</v>
      </c>
    </row>
    <row r="44" spans="2:12" ht="24" customHeight="1">
      <c r="B44" s="24">
        <f>IFERROR((Inventory_List_Table45[[#This Row],[Quantidade]]&lt;=Inventory_List_Table45[[#This Row],[Quantidade2]])*(Inventory_List_Table45[[#This Row],[Quantidade5]]="")*RealceValor,0)</f>
        <v>0</v>
      </c>
      <c r="E44" s="66">
        <v>73213</v>
      </c>
      <c r="F44" s="77" t="s">
        <v>312</v>
      </c>
      <c r="G44" s="101">
        <v>12</v>
      </c>
      <c r="H44" s="77"/>
      <c r="I44" s="77"/>
      <c r="J44" s="76"/>
      <c r="K44" s="70">
        <v>12</v>
      </c>
      <c r="L44" s="27" t="s">
        <v>281</v>
      </c>
    </row>
    <row r="45" spans="2:12" ht="24" customHeight="1">
      <c r="B45" s="24">
        <f>IFERROR((Inventory_List_Table45[[#This Row],[Quantidade]]&lt;=Inventory_List_Table45[[#This Row],[Quantidade2]])*(Inventory_List_Table45[[#This Row],[Quantidade5]]="")*RealceValor,0)</f>
        <v>0</v>
      </c>
      <c r="E45" s="67">
        <v>71502</v>
      </c>
      <c r="F45" s="77" t="s">
        <v>313</v>
      </c>
      <c r="G45" s="98">
        <v>7</v>
      </c>
      <c r="H45" s="77"/>
      <c r="I45" s="77"/>
      <c r="J45" s="76"/>
      <c r="K45" s="71">
        <v>7</v>
      </c>
      <c r="L45" s="27" t="s">
        <v>281</v>
      </c>
    </row>
    <row r="46" spans="2:12" ht="24" customHeight="1">
      <c r="B46" s="24">
        <f>IFERROR((Inventory_List_Table45[[#This Row],[Quantidade]]&lt;=Inventory_List_Table45[[#This Row],[Quantidade2]])*(Inventory_List_Table45[[#This Row],[Quantidade5]]="")*RealceValor,0)</f>
        <v>0</v>
      </c>
      <c r="E46" s="67">
        <v>18852</v>
      </c>
      <c r="F46" s="77" t="s">
        <v>314</v>
      </c>
      <c r="G46" s="98">
        <v>10</v>
      </c>
      <c r="H46" s="77"/>
      <c r="I46" s="77"/>
      <c r="J46" s="76"/>
      <c r="K46" s="71">
        <v>10</v>
      </c>
      <c r="L46" s="27" t="s">
        <v>281</v>
      </c>
    </row>
    <row r="47" spans="2:12" ht="24" customHeight="1">
      <c r="B47" s="24">
        <f>IFERROR((Inventory_List_Table45[[#This Row],[Quantidade]]&lt;=Inventory_List_Table45[[#This Row],[Quantidade2]])*(Inventory_List_Table45[[#This Row],[Quantidade5]]="")*RealceValor,0)</f>
        <v>0</v>
      </c>
      <c r="E47" s="67">
        <v>32210</v>
      </c>
      <c r="F47" s="77" t="s">
        <v>315</v>
      </c>
      <c r="G47" s="98">
        <v>1</v>
      </c>
      <c r="H47" s="77"/>
      <c r="I47" s="77"/>
      <c r="J47" s="76"/>
      <c r="K47" s="71">
        <v>1</v>
      </c>
      <c r="L47" s="27" t="s">
        <v>281</v>
      </c>
    </row>
    <row r="48" spans="2:12" ht="24" customHeight="1">
      <c r="B48" s="24">
        <f>IFERROR((Inventory_List_Table45[[#This Row],[Quantidade]]&lt;=Inventory_List_Table45[[#This Row],[Quantidade2]])*(Inventory_List_Table45[[#This Row],[Quantidade5]]="")*RealceValor,0)</f>
        <v>0</v>
      </c>
      <c r="E48" s="67">
        <v>18901</v>
      </c>
      <c r="F48" s="77" t="s">
        <v>316</v>
      </c>
      <c r="G48" s="98">
        <v>5</v>
      </c>
      <c r="H48" s="77"/>
      <c r="I48" s="77"/>
      <c r="J48" s="76"/>
      <c r="K48" s="71">
        <v>5</v>
      </c>
      <c r="L48" s="27" t="s">
        <v>281</v>
      </c>
    </row>
    <row r="49" spans="2:12" ht="24" customHeight="1">
      <c r="B49" s="24">
        <f>IFERROR((Inventory_List_Table45[[#This Row],[Quantidade]]&lt;=Inventory_List_Table45[[#This Row],[Quantidade2]])*(Inventory_List_Table45[[#This Row],[Quantidade5]]="")*RealceValor,0)</f>
        <v>0</v>
      </c>
      <c r="E49" s="67">
        <v>27965</v>
      </c>
      <c r="F49" s="77" t="s">
        <v>317</v>
      </c>
      <c r="G49" s="98">
        <v>10</v>
      </c>
      <c r="H49" s="77"/>
      <c r="I49" s="77"/>
      <c r="J49" s="76"/>
      <c r="K49" s="71">
        <v>10</v>
      </c>
      <c r="L49" s="27" t="s">
        <v>281</v>
      </c>
    </row>
    <row r="50" spans="2:12" ht="35.1" customHeight="1">
      <c r="B50" s="24">
        <f>IFERROR((Inventory_List_Table45[[#This Row],[Quantidade]]&lt;=Inventory_List_Table45[[#This Row],[Quantidade2]])*(Inventory_List_Table45[[#This Row],[Quantidade5]]="")*RealceValor,0)</f>
        <v>0</v>
      </c>
      <c r="E50" s="67">
        <v>27829</v>
      </c>
      <c r="F50" s="77" t="s">
        <v>318</v>
      </c>
      <c r="G50" s="102">
        <v>10</v>
      </c>
      <c r="H50" s="77"/>
      <c r="I50" s="77"/>
      <c r="J50" s="76"/>
      <c r="K50" s="79">
        <v>10</v>
      </c>
      <c r="L50" s="27" t="s">
        <v>281</v>
      </c>
    </row>
    <row r="51" spans="2:12" ht="24" customHeight="1">
      <c r="B51" s="24">
        <f>IFERROR((Inventory_List_Table45[[#This Row],[Quantidade]]&lt;=Inventory_List_Table45[[#This Row],[Quantidade2]])*(Inventory_List_Table45[[#This Row],[Quantidade5]]="")*RealceValor,0)</f>
        <v>0</v>
      </c>
      <c r="E51" s="67">
        <v>26760</v>
      </c>
      <c r="F51" s="77" t="s">
        <v>319</v>
      </c>
      <c r="G51" s="101">
        <v>2</v>
      </c>
      <c r="H51" s="77"/>
      <c r="I51" s="77"/>
      <c r="J51" s="76"/>
      <c r="K51" s="70">
        <v>2</v>
      </c>
      <c r="L51" s="27" t="s">
        <v>281</v>
      </c>
    </row>
    <row r="52" spans="2:12" ht="24" customHeight="1">
      <c r="B52" s="24">
        <f>IFERROR((Inventory_List_Table45[[#This Row],[Quantidade]]&lt;=Inventory_List_Table45[[#This Row],[Quantidade2]])*(Inventory_List_Table45[[#This Row],[Quantidade5]]="")*RealceValor,0)</f>
        <v>1</v>
      </c>
      <c r="E52" s="18"/>
      <c r="F52" s="19"/>
      <c r="G52" s="20"/>
      <c r="H52" s="25"/>
      <c r="I52" s="25"/>
      <c r="J52" s="25"/>
      <c r="K52" s="26"/>
      <c r="L52" s="27"/>
    </row>
    <row r="53" spans="2:12" ht="24" customHeight="1">
      <c r="B53" s="24">
        <f>IFERROR((Inventory_List_Table45[[#This Row],[Quantidade]]&lt;=Inventory_List_Table45[[#This Row],[Quantidade2]])*(Inventory_List_Table45[[#This Row],[Quantidade5]]="")*RealceValor,0)</f>
        <v>1</v>
      </c>
      <c r="E53" s="18"/>
      <c r="F53" s="19"/>
      <c r="G53" s="20"/>
      <c r="H53" s="25"/>
      <c r="I53" s="25"/>
      <c r="J53" s="25"/>
      <c r="K53" s="26"/>
      <c r="L53" s="27"/>
    </row>
    <row r="54" spans="2:12" ht="24" customHeight="1">
      <c r="B54" s="24">
        <f>IFERROR((Inventory_List_Table45[[#This Row],[Quantidade]]&lt;=Inventory_List_Table45[[#This Row],[Quantidade2]])*(Inventory_List_Table45[[#This Row],[Quantidade5]]="")*RealceValor,0)</f>
        <v>1</v>
      </c>
      <c r="E54" s="18"/>
      <c r="F54" s="19"/>
      <c r="G54" s="20"/>
      <c r="H54" s="25"/>
      <c r="I54" s="25"/>
      <c r="J54" s="25"/>
      <c r="K54" s="26"/>
      <c r="L54" s="27"/>
    </row>
    <row r="55" spans="2:12" ht="24" customHeight="1">
      <c r="B55" s="24">
        <f>IFERROR((Inventory_List_Table45[[#This Row],[Quantidade]]&lt;=Inventory_List_Table45[[#This Row],[Quantidade2]])*(Inventory_List_Table45[[#This Row],[Quantidade5]]="")*RealceValor,0)</f>
        <v>1</v>
      </c>
      <c r="E55" s="18"/>
      <c r="F55" s="19"/>
      <c r="G55" s="20"/>
      <c r="H55" s="25"/>
      <c r="I55" s="25"/>
      <c r="J55" s="25"/>
      <c r="K55" s="26"/>
      <c r="L55" s="27"/>
    </row>
    <row r="56" spans="2:12" ht="24" customHeight="1">
      <c r="B56" s="24">
        <f>IFERROR((Inventory_List_Table45[[#This Row],[Quantidade]]&lt;=Inventory_List_Table45[[#This Row],[Quantidade2]])*(Inventory_List_Table45[[#This Row],[Quantidade5]]="")*RealceValor,0)</f>
        <v>1</v>
      </c>
      <c r="E56" s="18"/>
      <c r="F56" s="19"/>
      <c r="G56" s="20"/>
      <c r="H56" s="25"/>
      <c r="I56" s="25"/>
      <c r="J56" s="25"/>
      <c r="K56" s="26"/>
      <c r="L56" s="27"/>
    </row>
    <row r="57" spans="2:12" ht="24" customHeight="1">
      <c r="B57" s="24">
        <f>IFERROR((Inventory_List_Table45[[#This Row],[Quantidade]]&lt;=Inventory_List_Table45[[#This Row],[Quantidade2]])*(Inventory_List_Table45[[#This Row],[Quantidade5]]="")*RealceValor,0)</f>
        <v>1</v>
      </c>
      <c r="E57" s="18"/>
      <c r="F57" s="19"/>
      <c r="G57" s="20"/>
      <c r="H57" s="25"/>
      <c r="I57" s="25"/>
      <c r="J57" s="25"/>
      <c r="K57" s="26"/>
      <c r="L57" s="27"/>
    </row>
    <row r="58" spans="2:12" ht="24" customHeight="1">
      <c r="B58" s="24">
        <f>IFERROR((Inventory_List_Table45[[#This Row],[Quantidade]]&lt;=Inventory_List_Table45[[#This Row],[Quantidade2]])*(Inventory_List_Table45[[#This Row],[Quantidade5]]="")*RealceValor,0)</f>
        <v>1</v>
      </c>
      <c r="E58" s="18"/>
      <c r="F58" s="19"/>
      <c r="G58" s="20"/>
      <c r="H58" s="25"/>
      <c r="I58" s="25"/>
      <c r="J58" s="25"/>
      <c r="K58" s="26"/>
      <c r="L58" s="27"/>
    </row>
    <row r="59" spans="2:12" ht="24" customHeight="1">
      <c r="B59" s="24">
        <f>IFERROR((Inventory_List_Table45[[#This Row],[Quantidade]]&lt;=Inventory_List_Table45[[#This Row],[Quantidade2]])*(Inventory_List_Table45[[#This Row],[Quantidade5]]="")*RealceValor,0)</f>
        <v>1</v>
      </c>
      <c r="E59" s="18"/>
      <c r="F59" s="19"/>
      <c r="G59" s="20"/>
      <c r="H59" s="25"/>
      <c r="I59" s="25"/>
      <c r="J59" s="25"/>
      <c r="K59" s="26"/>
      <c r="L59" s="27"/>
    </row>
    <row r="60" spans="2:12" ht="24" customHeight="1">
      <c r="B60" s="24">
        <f>IFERROR((Inventory_List_Table45[[#This Row],[Quantidade]]&lt;=Inventory_List_Table45[[#This Row],[Quantidade2]])*(Inventory_List_Table45[[#This Row],[Quantidade5]]="")*RealceValor,0)</f>
        <v>1</v>
      </c>
      <c r="E60" s="18"/>
      <c r="F60" s="19"/>
      <c r="G60" s="20"/>
      <c r="H60" s="25"/>
      <c r="I60" s="25"/>
      <c r="J60" s="25"/>
      <c r="K60" s="26"/>
      <c r="L60" s="27"/>
    </row>
    <row r="61" spans="2:12" ht="24" customHeight="1">
      <c r="B61" s="24">
        <f>IFERROR((Inventory_List_Table45[[#This Row],[Quantidade]]&lt;=Inventory_List_Table45[[#This Row],[Quantidade2]])*(Inventory_List_Table45[[#This Row],[Quantidade5]]="")*RealceValor,0)</f>
        <v>1</v>
      </c>
      <c r="E61" s="18"/>
      <c r="F61" s="19"/>
      <c r="G61" s="20"/>
      <c r="H61" s="25"/>
      <c r="I61" s="25"/>
      <c r="J61" s="25"/>
      <c r="K61" s="26"/>
      <c r="L61" s="27"/>
    </row>
    <row r="62" spans="2:12" ht="24" customHeight="1">
      <c r="B62" s="24">
        <f>IFERROR((Inventory_List_Table45[[#This Row],[Quantidade]]&lt;=Inventory_List_Table45[[#This Row],[Quantidade2]])*(Inventory_List_Table45[[#This Row],[Quantidade5]]="")*RealceValor,0)</f>
        <v>1</v>
      </c>
      <c r="E62" s="18"/>
      <c r="F62" s="19"/>
      <c r="G62" s="20"/>
      <c r="H62" s="25"/>
      <c r="I62" s="25"/>
      <c r="J62" s="25"/>
      <c r="K62" s="26"/>
      <c r="L62" s="27"/>
    </row>
    <row r="63" spans="2:12" ht="24" customHeight="1">
      <c r="B63" s="24">
        <f>IFERROR((Inventory_List_Table45[[#This Row],[Quantidade]]&lt;=Inventory_List_Table45[[#This Row],[Quantidade2]])*(Inventory_List_Table45[[#This Row],[Quantidade5]]="")*RealceValor,0)</f>
        <v>1</v>
      </c>
      <c r="E63" s="18"/>
      <c r="F63" s="19"/>
      <c r="G63" s="20"/>
      <c r="H63" s="25"/>
      <c r="I63" s="25"/>
      <c r="J63" s="25"/>
      <c r="K63" s="26"/>
      <c r="L63" s="27"/>
    </row>
    <row r="64" spans="2:12" ht="24" customHeight="1">
      <c r="B64" s="24">
        <f>IFERROR((Inventory_List_Table45[[#This Row],[Quantidade]]&lt;=Inventory_List_Table45[[#This Row],[Quantidade2]])*(Inventory_List_Table45[[#This Row],[Quantidade5]]="")*RealceValor,0)</f>
        <v>1</v>
      </c>
      <c r="E64" s="18"/>
      <c r="F64" s="19"/>
      <c r="G64" s="20"/>
      <c r="H64" s="25"/>
      <c r="I64" s="25"/>
      <c r="J64" s="25"/>
      <c r="K64" s="26"/>
      <c r="L64" s="27"/>
    </row>
    <row r="65" spans="2:12" ht="24" customHeight="1">
      <c r="B65" s="24">
        <f>IFERROR((Inventory_List_Table45[[#This Row],[Quantidade]]&lt;=Inventory_List_Table45[[#This Row],[Quantidade2]])*(Inventory_List_Table45[[#This Row],[Quantidade5]]="")*RealceValor,0)</f>
        <v>1</v>
      </c>
      <c r="E65" s="18"/>
      <c r="F65" s="19"/>
      <c r="G65" s="20"/>
      <c r="H65" s="25"/>
      <c r="I65" s="25"/>
      <c r="J65" s="25"/>
      <c r="K65" s="26"/>
      <c r="L65" s="27"/>
    </row>
  </sheetData>
  <mergeCells count="1">
    <mergeCell ref="E2:L2"/>
  </mergeCells>
  <conditionalFormatting sqref="B5:D51 B52:K65">
    <cfRule type="expression" dxfId="27" priority="16">
      <formula>$K5="Sim"</formula>
    </cfRule>
    <cfRule type="expression" dxfId="26" priority="17">
      <formula>$B5=1</formula>
    </cfRule>
  </conditionalFormatting>
  <dataValidations count="7"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39219D17-1938-4394-B230-44AF691A3CA4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C8A6C5A1-CD18-45B3-AB0A-168A3A9AB54C}"/>
    <dataValidation allowBlank="1" showInputMessage="1" showErrorMessage="1" prompt="Insira a ID de estoque do item nesta coluna" sqref="E4" xr:uid="{02C14C0E-F585-4BBF-8562-234F335CC287}"/>
    <dataValidation allowBlank="1" showInputMessage="1" showErrorMessage="1" prompt="Insira a quantidade em estoque de cada item nesta coluna" sqref="G4:L4" xr:uid="{3CC6659D-2982-478E-B1B1-549BBF085FD4}"/>
    <dataValidation allowBlank="1" showInputMessage="1" showErrorMessage="1" prompt="Insira uma descrição do item nesta coluna" sqref="F4" xr:uid="{EC1ACDC7-FC14-4CAF-88C8-C4E7AF30B784}"/>
    <dataValidation type="list" allowBlank="1" showInputMessage="1" showErrorMessage="1" prompt="Selecione Sim para habilitar o realce de itens para ordenar. Isso aplica uma sinalização na coluna B e realça a linha correspondente na tabela Lista de estoque. Selecionar Não apagará os destaques e a sinalização." sqref="K3" xr:uid="{7C1D578D-01A2-47E5-AD30-E16C45D081CD}">
      <formula1>"Sim, Não"</formula1>
    </dataValidation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DC01AB70-A22F-4319-88B3-18D463EF89A9}"/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" id="{812C90D8-E1B0-4DE4-973D-68A8AD3DA20F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B5:D65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383D-F4CE-47A8-A727-ADF333BE0B0A}">
  <sheetPr>
    <tabColor rgb="FFFF0000"/>
  </sheetPr>
  <dimension ref="B3:G53"/>
  <sheetViews>
    <sheetView workbookViewId="0">
      <selection activeCell="G20" sqref="G20"/>
    </sheetView>
  </sheetViews>
  <sheetFormatPr defaultRowHeight="15.75"/>
  <cols>
    <col min="4" max="4" width="118.77734375" bestFit="1" customWidth="1"/>
  </cols>
  <sheetData>
    <row r="3" spans="2:7" ht="48">
      <c r="B3" s="1"/>
      <c r="C3" s="146" t="s">
        <v>320</v>
      </c>
      <c r="D3" s="146"/>
      <c r="E3" s="146"/>
      <c r="F3" s="146"/>
      <c r="G3" s="1"/>
    </row>
    <row r="4" spans="2:7">
      <c r="B4" s="4"/>
      <c r="C4" s="14"/>
      <c r="D4" s="14"/>
      <c r="E4" s="14"/>
      <c r="F4" s="14"/>
      <c r="G4" s="4"/>
    </row>
    <row r="5" spans="2:7" ht="31.5">
      <c r="B5" s="3"/>
      <c r="C5" s="15" t="s">
        <v>6</v>
      </c>
      <c r="D5" s="16" t="s">
        <v>321</v>
      </c>
      <c r="E5" s="17" t="s">
        <v>115</v>
      </c>
      <c r="F5" s="16" t="s">
        <v>116</v>
      </c>
      <c r="G5" s="3"/>
    </row>
    <row r="6" spans="2:7">
      <c r="B6" s="4"/>
      <c r="C6" s="22">
        <v>98860</v>
      </c>
      <c r="D6" s="22" t="s">
        <v>322</v>
      </c>
      <c r="E6" s="23">
        <v>1</v>
      </c>
      <c r="F6" s="38" t="s">
        <v>121</v>
      </c>
      <c r="G6" s="4"/>
    </row>
    <row r="7" spans="2:7">
      <c r="B7" s="4"/>
      <c r="C7" s="19">
        <v>77715</v>
      </c>
      <c r="D7" s="19" t="s">
        <v>323</v>
      </c>
      <c r="E7" s="21">
        <v>6</v>
      </c>
      <c r="F7" s="39" t="s">
        <v>121</v>
      </c>
      <c r="G7" s="4"/>
    </row>
    <row r="8" spans="2:7">
      <c r="B8" s="4"/>
      <c r="C8" s="22">
        <v>98776</v>
      </c>
      <c r="D8" s="22" t="s">
        <v>324</v>
      </c>
      <c r="E8" s="23">
        <v>2</v>
      </c>
      <c r="F8" s="23" t="s">
        <v>121</v>
      </c>
      <c r="G8" s="4"/>
    </row>
    <row r="9" spans="2:7">
      <c r="B9" s="4"/>
      <c r="C9" s="22">
        <v>19646</v>
      </c>
      <c r="D9" s="22" t="s">
        <v>325</v>
      </c>
      <c r="E9" s="23">
        <v>6</v>
      </c>
      <c r="F9" s="38" t="s">
        <v>121</v>
      </c>
      <c r="G9" s="4"/>
    </row>
    <row r="10" spans="2:7">
      <c r="B10" s="4"/>
      <c r="C10" s="19">
        <v>27778</v>
      </c>
      <c r="D10" s="19" t="s">
        <v>326</v>
      </c>
      <c r="E10" s="21">
        <v>6</v>
      </c>
      <c r="F10" s="39" t="s">
        <v>121</v>
      </c>
      <c r="G10" s="4"/>
    </row>
    <row r="11" spans="2:7">
      <c r="B11" s="4"/>
      <c r="C11" s="22">
        <v>98775</v>
      </c>
      <c r="D11" s="22" t="s">
        <v>268</v>
      </c>
      <c r="E11" s="23">
        <v>10</v>
      </c>
      <c r="F11" s="23" t="s">
        <v>121</v>
      </c>
      <c r="G11" s="4"/>
    </row>
    <row r="12" spans="2:7">
      <c r="B12" s="4"/>
      <c r="C12" s="22">
        <v>98777</v>
      </c>
      <c r="D12" s="22" t="s">
        <v>327</v>
      </c>
      <c r="E12" s="23">
        <v>5</v>
      </c>
      <c r="F12" s="38" t="s">
        <v>121</v>
      </c>
      <c r="G12" s="4"/>
    </row>
    <row r="13" spans="2:7">
      <c r="B13" s="4"/>
      <c r="C13" s="19">
        <v>43085</v>
      </c>
      <c r="D13" s="19" t="s">
        <v>328</v>
      </c>
      <c r="E13" s="21">
        <v>80</v>
      </c>
      <c r="F13" s="39" t="s">
        <v>121</v>
      </c>
      <c r="G13" s="4"/>
    </row>
    <row r="14" spans="2:7">
      <c r="B14" s="4"/>
      <c r="C14" s="22">
        <v>19519</v>
      </c>
      <c r="D14" s="22" t="s">
        <v>329</v>
      </c>
      <c r="E14" s="23">
        <v>24</v>
      </c>
      <c r="F14" s="23" t="s">
        <v>121</v>
      </c>
      <c r="G14" s="4"/>
    </row>
    <row r="15" spans="2:7">
      <c r="B15" s="4"/>
      <c r="C15" s="22">
        <v>13981</v>
      </c>
      <c r="D15" s="22" t="s">
        <v>330</v>
      </c>
      <c r="E15" s="23">
        <v>2</v>
      </c>
      <c r="F15" s="38" t="s">
        <v>121</v>
      </c>
      <c r="G15" s="4"/>
    </row>
    <row r="16" spans="2:7">
      <c r="B16" s="4"/>
      <c r="C16" s="19">
        <v>64160</v>
      </c>
      <c r="D16" s="19" t="s">
        <v>331</v>
      </c>
      <c r="E16" s="21">
        <v>2</v>
      </c>
      <c r="F16" s="39" t="s">
        <v>121</v>
      </c>
      <c r="G16" s="4"/>
    </row>
    <row r="17" spans="2:7">
      <c r="B17" s="4"/>
      <c r="C17" s="22">
        <v>28153</v>
      </c>
      <c r="D17" s="22" t="s">
        <v>332</v>
      </c>
      <c r="E17" s="23">
        <v>1</v>
      </c>
      <c r="F17" s="23" t="s">
        <v>121</v>
      </c>
      <c r="G17" s="4"/>
    </row>
    <row r="18" spans="2:7">
      <c r="B18" s="4"/>
      <c r="C18" s="22">
        <v>38158</v>
      </c>
      <c r="D18" s="22" t="s">
        <v>333</v>
      </c>
      <c r="E18" s="23">
        <v>2</v>
      </c>
      <c r="F18" s="38" t="s">
        <v>121</v>
      </c>
      <c r="G18" s="4"/>
    </row>
    <row r="19" spans="2:7">
      <c r="B19" s="4"/>
      <c r="C19" s="19">
        <v>44372</v>
      </c>
      <c r="D19" s="19" t="s">
        <v>334</v>
      </c>
      <c r="E19" s="21">
        <v>1</v>
      </c>
      <c r="F19" s="39" t="s">
        <v>121</v>
      </c>
      <c r="G19" s="4"/>
    </row>
    <row r="20" spans="2:7">
      <c r="B20" s="4"/>
      <c r="C20" s="22"/>
      <c r="D20" s="22" t="s">
        <v>335</v>
      </c>
      <c r="E20" s="23">
        <v>1</v>
      </c>
      <c r="F20" s="23" t="s">
        <v>121</v>
      </c>
      <c r="G20" s="4" t="s">
        <v>336</v>
      </c>
    </row>
    <row r="21" spans="2:7">
      <c r="B21" s="4"/>
      <c r="C21" s="22">
        <v>75188</v>
      </c>
      <c r="D21" s="22" t="s">
        <v>337</v>
      </c>
      <c r="E21" s="23">
        <v>12</v>
      </c>
      <c r="F21" s="38" t="s">
        <v>121</v>
      </c>
      <c r="G21" s="4"/>
    </row>
    <row r="22" spans="2:7">
      <c r="B22" s="4"/>
      <c r="C22" s="19">
        <v>32286</v>
      </c>
      <c r="D22" s="19" t="s">
        <v>338</v>
      </c>
      <c r="E22" s="21">
        <v>24</v>
      </c>
      <c r="F22" s="38" t="s">
        <v>121</v>
      </c>
      <c r="G22" s="4"/>
    </row>
    <row r="23" spans="2:7">
      <c r="B23" s="4"/>
      <c r="C23" s="22">
        <v>59869</v>
      </c>
      <c r="D23" s="22" t="s">
        <v>41</v>
      </c>
      <c r="E23" s="23">
        <v>1</v>
      </c>
      <c r="F23" s="38" t="s">
        <v>121</v>
      </c>
      <c r="G23" s="4"/>
    </row>
    <row r="24" spans="2:7">
      <c r="B24" s="4"/>
      <c r="C24" s="22" t="s">
        <v>339</v>
      </c>
      <c r="D24" s="22" t="s">
        <v>340</v>
      </c>
      <c r="E24" s="23">
        <v>1</v>
      </c>
      <c r="F24" s="38" t="s">
        <v>121</v>
      </c>
      <c r="G24" s="4"/>
    </row>
    <row r="25" spans="2:7">
      <c r="B25" s="4"/>
      <c r="C25" s="22"/>
      <c r="D25" s="22"/>
      <c r="E25" s="23"/>
      <c r="F25" s="38"/>
      <c r="G25" s="4"/>
    </row>
    <row r="26" spans="2:7">
      <c r="B26" s="4"/>
      <c r="C26" s="19"/>
      <c r="D26" s="19"/>
      <c r="E26" s="21"/>
      <c r="F26" s="39"/>
      <c r="G26" s="4"/>
    </row>
    <row r="27" spans="2:7">
      <c r="B27" s="4"/>
      <c r="C27" s="22"/>
      <c r="D27" s="22"/>
      <c r="E27" s="23"/>
      <c r="F27" s="23"/>
      <c r="G27" s="4"/>
    </row>
    <row r="28" spans="2:7">
      <c r="B28" s="4"/>
      <c r="C28" s="19"/>
      <c r="D28" s="19"/>
      <c r="E28" s="21"/>
      <c r="F28" s="21"/>
      <c r="G28" s="4"/>
    </row>
    <row r="29" spans="2:7">
      <c r="B29" s="4"/>
      <c r="C29" s="22"/>
      <c r="D29" s="22"/>
      <c r="E29" s="23"/>
      <c r="F29" s="23"/>
      <c r="G29" s="4"/>
    </row>
    <row r="30" spans="2:7">
      <c r="B30" s="4"/>
      <c r="C30" s="36"/>
      <c r="D30" s="36"/>
      <c r="E30" s="37"/>
      <c r="F30" s="37"/>
      <c r="G30" s="4"/>
    </row>
    <row r="31" spans="2:7">
      <c r="B31" s="4"/>
      <c r="C31" s="14"/>
      <c r="D31" s="14"/>
      <c r="E31" s="14"/>
      <c r="F31" s="14"/>
      <c r="G31" s="4"/>
    </row>
    <row r="32" spans="2:7">
      <c r="B32" s="4"/>
      <c r="C32" s="14"/>
      <c r="D32" s="14"/>
      <c r="E32" s="14"/>
      <c r="F32" s="14"/>
      <c r="G32" s="4"/>
    </row>
    <row r="33" spans="2:7">
      <c r="B33" s="4"/>
      <c r="C33" s="14"/>
      <c r="D33" s="14"/>
      <c r="E33" s="14"/>
      <c r="F33" s="14"/>
      <c r="G33" s="4"/>
    </row>
    <row r="34" spans="2:7">
      <c r="B34" s="4"/>
      <c r="C34" s="14"/>
      <c r="D34" s="14"/>
      <c r="E34" s="14"/>
      <c r="F34" s="14"/>
      <c r="G34" s="4"/>
    </row>
    <row r="35" spans="2:7">
      <c r="B35" s="4"/>
      <c r="C35" s="14"/>
      <c r="D35" s="14"/>
      <c r="E35" s="14"/>
      <c r="F35" s="14"/>
      <c r="G35" s="4"/>
    </row>
    <row r="36" spans="2:7">
      <c r="B36" s="4"/>
      <c r="C36" s="14"/>
      <c r="D36" s="14"/>
      <c r="E36" s="14"/>
      <c r="F36" s="14"/>
      <c r="G36" s="4"/>
    </row>
    <row r="37" spans="2:7">
      <c r="B37" s="4"/>
      <c r="C37" s="14"/>
      <c r="D37" s="14"/>
      <c r="E37" s="14"/>
      <c r="F37" s="14"/>
      <c r="G37" s="4"/>
    </row>
    <row r="38" spans="2:7">
      <c r="B38" s="4"/>
      <c r="C38" s="14"/>
      <c r="D38" s="14"/>
      <c r="E38" s="14"/>
      <c r="F38" s="14"/>
      <c r="G38" s="4"/>
    </row>
    <row r="39" spans="2:7">
      <c r="B39" s="4"/>
      <c r="C39" s="14"/>
      <c r="D39" s="14"/>
      <c r="E39" s="14"/>
      <c r="F39" s="14"/>
      <c r="G39" s="4"/>
    </row>
    <row r="40" spans="2:7">
      <c r="B40" s="4"/>
      <c r="C40" s="14"/>
      <c r="D40" s="14"/>
      <c r="E40" s="14"/>
      <c r="F40" s="14"/>
      <c r="G40" s="4"/>
    </row>
    <row r="41" spans="2:7">
      <c r="B41" s="4"/>
      <c r="C41" s="14"/>
      <c r="D41" s="14"/>
      <c r="E41" s="14"/>
      <c r="F41" s="14"/>
      <c r="G41" s="4"/>
    </row>
    <row r="42" spans="2:7">
      <c r="B42" s="4"/>
      <c r="C42" s="14"/>
      <c r="D42" s="14"/>
      <c r="E42" s="14"/>
      <c r="F42" s="14"/>
      <c r="G42" s="4"/>
    </row>
    <row r="43" spans="2:7">
      <c r="B43" s="4"/>
      <c r="C43" s="14"/>
      <c r="D43" s="14"/>
      <c r="E43" s="14"/>
      <c r="F43" s="14"/>
      <c r="G43" s="4"/>
    </row>
    <row r="44" spans="2:7">
      <c r="B44" s="4"/>
      <c r="C44" s="14"/>
      <c r="D44" s="14"/>
      <c r="E44" s="14"/>
      <c r="F44" s="14"/>
      <c r="G44" s="4"/>
    </row>
    <row r="45" spans="2:7">
      <c r="B45" s="4"/>
      <c r="C45" s="14"/>
      <c r="D45" s="14"/>
      <c r="E45" s="14"/>
      <c r="F45" s="14"/>
      <c r="G45" s="4"/>
    </row>
    <row r="46" spans="2:7">
      <c r="B46" s="4"/>
      <c r="C46" s="14"/>
      <c r="D46" s="14"/>
      <c r="E46" s="14"/>
      <c r="F46" s="14"/>
      <c r="G46" s="4"/>
    </row>
    <row r="47" spans="2:7">
      <c r="B47" s="4"/>
      <c r="C47" s="14"/>
      <c r="D47" s="14"/>
      <c r="E47" s="14"/>
      <c r="F47" s="14"/>
      <c r="G47" s="4"/>
    </row>
    <row r="48" spans="2:7">
      <c r="B48" s="4"/>
      <c r="C48" s="14"/>
      <c r="D48" s="14"/>
      <c r="E48" s="14"/>
      <c r="F48" s="14"/>
      <c r="G48" s="4"/>
    </row>
    <row r="49" spans="2:7">
      <c r="B49" s="4"/>
      <c r="C49" s="14"/>
      <c r="D49" s="14"/>
      <c r="E49" s="14"/>
      <c r="F49" s="14"/>
      <c r="G49" s="4"/>
    </row>
    <row r="50" spans="2:7">
      <c r="B50" s="4"/>
      <c r="C50" s="14"/>
      <c r="D50" s="14"/>
      <c r="E50" s="14"/>
      <c r="F50" s="14"/>
      <c r="G50" s="4"/>
    </row>
    <row r="51" spans="2:7">
      <c r="B51" s="4"/>
      <c r="C51" s="14"/>
      <c r="D51" s="14"/>
      <c r="E51" s="14"/>
      <c r="F51" s="14"/>
      <c r="G51" s="4"/>
    </row>
    <row r="52" spans="2:7">
      <c r="B52" s="4"/>
      <c r="C52" s="14"/>
      <c r="D52" s="14"/>
      <c r="E52" s="14"/>
      <c r="F52" s="14"/>
      <c r="G52" s="4"/>
    </row>
    <row r="53" spans="2:7">
      <c r="B53" s="4"/>
      <c r="C53" s="14"/>
      <c r="D53" s="14"/>
      <c r="E53" s="14"/>
      <c r="F53" s="14"/>
      <c r="G53" s="4"/>
    </row>
  </sheetData>
  <mergeCells count="1">
    <mergeCell ref="C3:F3"/>
  </mergeCells>
  <conditionalFormatting sqref="C6:F30">
    <cfRule type="expression" dxfId="1" priority="1">
      <formula>$G6="Sim"</formula>
    </cfRule>
    <cfRule type="expression" dxfId="0" priority="2">
      <formula>$B6=1</formula>
    </cfRule>
  </conditionalFormatting>
  <dataValidations count="3">
    <dataValidation allowBlank="1" showInputMessage="1" showErrorMessage="1" prompt="Insira uma descrição do item nesta coluna" sqref="D5" xr:uid="{EC1ACDC7-FC14-4CAF-88C8-C4E7AF30B784}"/>
    <dataValidation allowBlank="1" showInputMessage="1" showErrorMessage="1" prompt="Insira a quantidade em estoque de cada item nesta coluna" sqref="E5:F5" xr:uid="{3CC6659D-2982-478E-B1B1-549BBF085FD4}"/>
    <dataValidation allowBlank="1" showInputMessage="1" showErrorMessage="1" prompt="Insira a ID de estoque do item nesta coluna" sqref="C5" xr:uid="{02C14C0E-F585-4BBF-8562-234F335CC287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8616d3-a2e5-4795-9b88-06aaa32f96ac">
      <Terms xmlns="http://schemas.microsoft.com/office/infopath/2007/PartnerControls"/>
    </lcf76f155ced4ddcb4097134ff3c332f>
    <TaxCatchAll xmlns="15962f1e-f8b5-4042-9c7d-5468d4101594" xsi:nil="true"/>
    <_Flow_SignoffStatus xmlns="c48616d3-a2e5-4795-9b88-06aaa32f96a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C4294D302FED478A6AB77DC9BB513D" ma:contentTypeVersion="18" ma:contentTypeDescription="Create a new document." ma:contentTypeScope="" ma:versionID="4cb5be103b09c7e9cc43fc757d81dbe0">
  <xsd:schema xmlns:xsd="http://www.w3.org/2001/XMLSchema" xmlns:xs="http://www.w3.org/2001/XMLSchema" xmlns:p="http://schemas.microsoft.com/office/2006/metadata/properties" xmlns:ns2="c48616d3-a2e5-4795-9b88-06aaa32f96ac" xmlns:ns3="15962f1e-f8b5-4042-9c7d-5468d4101594" targetNamespace="http://schemas.microsoft.com/office/2006/metadata/properties" ma:root="true" ma:fieldsID="18f1e82b9c6e89527ddd070234f772bd" ns2:_="" ns3:_="">
    <xsd:import namespace="c48616d3-a2e5-4795-9b88-06aaa32f96ac"/>
    <xsd:import namespace="15962f1e-f8b5-4042-9c7d-5468d41015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8616d3-a2e5-4795-9b88-06aaa32f96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65eb1af-e7dc-4e37-85a6-d2733eb990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62f1e-f8b5-4042-9c7d-5468d410159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3fd136c-def6-4806-8457-0f9be74161a6}" ma:internalName="TaxCatchAll" ma:showField="CatchAllData" ma:web="15962f1e-f8b5-4042-9c7d-5468d41015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F3298A-223B-42B2-9FEF-AB506EA6B5F6}"/>
</file>

<file path=customXml/itemProps2.xml><?xml version="1.0" encoding="utf-8"?>
<ds:datastoreItem xmlns:ds="http://schemas.openxmlformats.org/officeDocument/2006/customXml" ds:itemID="{350E0967-7BFB-41A2-878F-6235114DCBF9}"/>
</file>

<file path=customXml/itemProps3.xml><?xml version="1.0" encoding="utf-8"?>
<ds:datastoreItem xmlns:ds="http://schemas.openxmlformats.org/officeDocument/2006/customXml" ds:itemID="{DE17AD16-C3BD-472A-B362-8A85F95573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Costa, Vitor de Araujo</cp:lastModifiedBy>
  <cp:revision/>
  <dcterms:created xsi:type="dcterms:W3CDTF">2018-08-16T20:38:17Z</dcterms:created>
  <dcterms:modified xsi:type="dcterms:W3CDTF">2026-05-07T19:21:02Z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0x010100A0C4294D302FED478A6AB77DC9BB513D</vt:lpwstr>
  </property>
  <property fmtid="{D5CDD505-2E9C-101B-9397-08002B2CF9AE}" pid="3" name="MediaServiceImageTags">
    <vt:lpwstr/>
  </property>
</Properties>
</file>