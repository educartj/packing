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 filterPrivacy="1" codeName="EstaPastaDeTrabalho"/>
  <xr:revisionPtr revIDLastSave="15" documentId="13_ncr:1_{72A2AACE-83BD-4E63-9FD1-4EE2707339F4}" xr6:coauthVersionLast="47" xr6:coauthVersionMax="47" xr10:uidLastSave="{A7A166AF-B805-4124-9F41-0375BEB8FC49}"/>
  <bookViews>
    <workbookView xWindow="-110" yWindow="-110" windowWidth="19420" windowHeight="11500" tabRatio="957" activeTab="1" xr2:uid="{00000000-000D-0000-FFFF-FFFF00000000}"/>
  </bookViews>
  <sheets>
    <sheet name="Kit Revestimento de Piso 3°-T" sheetId="20" r:id="rId1"/>
    <sheet name="Kit Instalação Forro 3°" sheetId="1" r:id="rId2"/>
    <sheet name="Kit Instalação forro 2°-T" sheetId="2" r:id="rId3"/>
  </sheets>
  <definedNames>
    <definedName name="_xlnm._FilterDatabase" localSheetId="1" hidden="1">'Kit Instalação Forro 3°'!$J$3</definedName>
    <definedName name="_xlnm._FilterDatabase" localSheetId="2" hidden="1">'Kit Instalação forro 2°-T'!$J$3</definedName>
    <definedName name="_xlnm._FilterDatabase" localSheetId="0" hidden="1">'Kit Revestimento de Piso 3°-T'!$J$3</definedName>
    <definedName name="RealceValor" localSheetId="2">IFERROR(IF('Kit Instalação forro 2°-T'!$K$3="Sim", TRUE, FALSE),FALSE)</definedName>
    <definedName name="RealceValor" localSheetId="0">IFERROR(IF('Kit Revestimento de Piso 3°-T'!$K$3="Sim", TRUE, FALSE),FALSE)</definedName>
    <definedName name="RealceValor">IFERROR(IF('Kit Instalação Forro 3°'!$K$3="Sim", TRUE, FALSE),FALSE)</definedName>
    <definedName name="_xlnm.Print_Titles" localSheetId="1">'Kit Instalação Forro 3°'!$1:$4</definedName>
    <definedName name="_xlnm.Print_Titles" localSheetId="2">'Kit Instalação forro 2°-T'!$1:$4</definedName>
    <definedName name="_xlnm.Print_Titles" localSheetId="0">'Kit Revestimento de Piso 3°-T'!$1:$4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0" l="1"/>
  <c r="B8" i="20"/>
  <c r="B7" i="20"/>
  <c r="B6" i="20"/>
  <c r="B5" i="20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5" i="1"/>
</calcChain>
</file>

<file path=xl/sharedStrings.xml><?xml version="1.0" encoding="utf-8"?>
<sst xmlns="http://schemas.openxmlformats.org/spreadsheetml/2006/main" count="109" uniqueCount="58">
  <si>
    <t xml:space="preserve"> </t>
  </si>
  <si>
    <t>Kit Estruturas Revestimento de Piso Duplo</t>
  </si>
  <si>
    <t>Destacar itens para nova encomenda?</t>
  </si>
  <si>
    <t>Sim</t>
  </si>
  <si>
    <t>Para reordenar</t>
  </si>
  <si>
    <t>Equipe</t>
  </si>
  <si>
    <t>Solicitante</t>
  </si>
  <si>
    <t>Código do Item</t>
  </si>
  <si>
    <t>Descrição</t>
  </si>
  <si>
    <t>Quantidade</t>
  </si>
  <si>
    <t>Coluna3</t>
  </si>
  <si>
    <t>Data de Entrega</t>
  </si>
  <si>
    <t>Quantidade a encomendar</t>
  </si>
  <si>
    <t>Tem Estoque?</t>
  </si>
  <si>
    <t>Laminado</t>
  </si>
  <si>
    <t>230 cx</t>
  </si>
  <si>
    <t>Rodapé</t>
  </si>
  <si>
    <t>30 cx</t>
  </si>
  <si>
    <t xml:space="preserve">Perfil do laminado </t>
  </si>
  <si>
    <t>30 un</t>
  </si>
  <si>
    <t>Salva Piso</t>
  </si>
  <si>
    <t>40 un</t>
  </si>
  <si>
    <t>Manta</t>
  </si>
  <si>
    <t>PU</t>
  </si>
  <si>
    <t>70 um</t>
  </si>
  <si>
    <t>Vedacril</t>
  </si>
  <si>
    <t>35 un</t>
  </si>
  <si>
    <t>Fita Crep</t>
  </si>
  <si>
    <t>10 un</t>
  </si>
  <si>
    <t>Cola Almasuper</t>
  </si>
  <si>
    <t>Bucha 6</t>
  </si>
  <si>
    <t>200 pc</t>
  </si>
  <si>
    <t>Kit Estruturas Instalação Forro Mineral Duplo</t>
  </si>
  <si>
    <t>Dimensão</t>
  </si>
  <si>
    <t>FORRO: lã de vidro, lay-in, Ecophon Gedina A, white 500, T24, 625 x 625 x 15 mm</t>
  </si>
  <si>
    <t>18 cx</t>
  </si>
  <si>
    <t>Sem ID</t>
  </si>
  <si>
    <t>FORRO: lã de vidro, lay-in, white 500, T24, 1250 x 625 x 15 mm Ecophon Gedina A, ECOPHON</t>
  </si>
  <si>
    <t>1 cx</t>
  </si>
  <si>
    <t>DTIO - TIRANTE: p/ forro, arame 10, rígido, c/ elo, 1,0 m</t>
  </si>
  <si>
    <t>120 pç</t>
  </si>
  <si>
    <t xml:space="preserve">PERFIL; Clicado T 24 - 3.750 mm Branco Rupia  </t>
  </si>
  <si>
    <t>60 pç</t>
  </si>
  <si>
    <t xml:space="preserve">PERFIL; Clicado T 24 - 0.625 mm Branco Rupia  </t>
  </si>
  <si>
    <t>230 pç</t>
  </si>
  <si>
    <t>DTIO - PENDURAL; Regulável p/ Forros Tipo Clicado</t>
  </si>
  <si>
    <t>115 pç</t>
  </si>
  <si>
    <t xml:space="preserve">CANTONEIRA; para Forro Clicado 22x22 3.000mm para Click Branco Rupia  </t>
  </si>
  <si>
    <t>50 pç</t>
  </si>
  <si>
    <t xml:space="preserve">PREGO: p/ pistola Naja 40, 3,1 X 22 HP, c/ 1000 peças  </t>
  </si>
  <si>
    <t>1 pct</t>
  </si>
  <si>
    <t xml:space="preserve">PINO: montado, com arruela cônica 23mm, para pistola Naja 40, 3.1 X 22 HP AR COM 23, com 100 peças  </t>
  </si>
  <si>
    <t xml:space="preserve">3 pct </t>
  </si>
  <si>
    <t>MASSA: acrílica, p/ vedação, branca, tubo 450 g, Fendas &amp; Trincas</t>
  </si>
  <si>
    <t>5 pç</t>
  </si>
  <si>
    <t>Antigo Kit: Forro - BL20 - 2°;1°;Térreo</t>
  </si>
  <si>
    <t>Kit Estruturas Instalação Forro Mineral Simples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</si>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</sst>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24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0"/>
      <color theme="5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8"/>
      <color theme="3"/>
      <name val="Franklin Gothic Book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sz val="12"/>
      <color rgb="FF373433"/>
      <name val="Arial"/>
      <family val="2"/>
    </font>
    <font>
      <sz val="11"/>
      <name val="Franklin Gothic Book"/>
      <family val="2"/>
      <scheme val="minor"/>
    </font>
    <font>
      <b/>
      <sz val="28"/>
      <color theme="3" tint="0.39997558519241921"/>
      <name val="Franklin Gothic Book"/>
      <family val="2"/>
      <scheme val="minor"/>
    </font>
    <font>
      <sz val="8"/>
      <name val="Franklin Gothic Book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21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right" vertical="center" inden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right" vertical="center" indent="1"/>
    </xf>
    <xf numFmtId="0" fontId="20" fillId="0" borderId="0" xfId="0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</cellXfs>
  <cellStyles count="52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Moeda" xfId="3" builtinId="4" customBuiltin="1"/>
    <cellStyle name="Moeda [0]" xfId="4" builtinId="7" customBuiltin="1"/>
    <cellStyle name="Moeda [0] 2" xfId="50" xr:uid="{0EC5AAC1-7490-490F-947C-952E5784AE60}"/>
    <cellStyle name="Moeda 2" xfId="49" xr:uid="{9E5898B2-FCAB-4CF8-A1BF-A0630E09FC21}"/>
    <cellStyle name="Neutro" xfId="13" builtinId="28" customBuiltin="1"/>
    <cellStyle name="Normal" xfId="0" builtinId="0" customBuiltin="1"/>
    <cellStyle name="Normal 2" xfId="51" xr:uid="{0E15EDF6-E8A3-4F1F-9981-5E359BB9B14D}"/>
    <cellStyle name="Nota" xfId="20" builtinId="10" customBuiltin="1"/>
    <cellStyle name="Porcentagem" xfId="5" builtinId="5" customBuiltin="1"/>
    <cellStyle name="Ruim" xfId="12" builtinId="27" customBuiltin="1"/>
    <cellStyle name="Saída" xfId="15" builtinId="21" customBuiltin="1"/>
    <cellStyle name="Separador de milhares [0]" xfId="2" builtinId="6" customBuiltin="1"/>
    <cellStyle name="Separador de milhares [0] 2" xfId="48" xr:uid="{7A0171FC-D0F8-4668-B29C-CB0C38BADD0F}"/>
    <cellStyle name="Texto de Aviso" xfId="19" builtinId="11" customBuiltin="1"/>
    <cellStyle name="Texto Explicativo" xfId="21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2" builtinId="25" customBuiltin="1"/>
    <cellStyle name="Vírgula" xfId="1" builtinId="3" customBuiltin="1"/>
    <cellStyle name="Vírgula 2" xfId="47" xr:uid="{2E13A4A5-A2D6-455D-A103-0BD72DB0AC14}"/>
  </cellStyles>
  <dxfs count="75"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Tabela de empresas" pivot="0" count="3" xr9:uid="{00000000-0011-0000-FFFF-FFFF00000000}">
      <tableStyleElement type="wholeTable" dxfId="74"/>
      <tableStyleElement type="headerRow" dxfId="73"/>
      <tableStyleElement type="secondRowStripe" dxfId="7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146049</xdr:colOff>
      <xdr:row>0</xdr:row>
      <xdr:rowOff>152400</xdr:rowOff>
    </xdr:from>
    <xdr:to>
      <xdr:col>5</xdr:col>
      <xdr:colOff>2190750</xdr:colOff>
      <xdr:row>1</xdr:row>
      <xdr:rowOff>2133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7B8E5F0E-2043-4E0B-BC1B-37D609F2F2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155951" cy="1322933"/>
        </a:xfrm>
        <a:prstGeom prst="rect">
          <a:avLst/>
        </a:prstGeom>
      </xdr:spPr>
    </xdr:pic>
    <xdr:clientData/>
  </xdr:two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0220950-92A4-4975-81DB-1ED30B537645}"/>
            </a:ext>
            <a:ext uri="{147F2762-F138-4A5C-976F-8EAC2B608ADB}">
              <a16:predDERef xmlns:a16="http://schemas.microsoft.com/office/drawing/2014/main" pred="{B530C97E-9D3A-4116-9ECD-6416BFFD7664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146049</xdr:colOff>
      <xdr:row>0</xdr:row>
      <xdr:rowOff>152400</xdr:rowOff>
    </xdr:from>
    <xdr:to>
      <xdr:col>5</xdr:col>
      <xdr:colOff>2190750</xdr:colOff>
      <xdr:row>1</xdr:row>
      <xdr:rowOff>2133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149601" cy="1322933"/>
        </a:xfrm>
        <a:prstGeom prst="rect">
          <a:avLst/>
        </a:prstGeom>
      </xdr:spPr>
    </xdr:pic>
    <xdr:clientData/>
  </xdr:two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B4F2335-5682-E7F6-0444-BD377792899C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146049</xdr:colOff>
      <xdr:row>0</xdr:row>
      <xdr:rowOff>152400</xdr:rowOff>
    </xdr:from>
    <xdr:to>
      <xdr:col>5</xdr:col>
      <xdr:colOff>2190750</xdr:colOff>
      <xdr:row>1</xdr:row>
      <xdr:rowOff>2133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B530C97E-9D3A-4116-9ECD-6416BFFD7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197226" cy="1326108"/>
        </a:xfrm>
        <a:prstGeom prst="rect">
          <a:avLst/>
        </a:prstGeom>
      </xdr:spPr>
    </xdr:pic>
    <xdr:clientData/>
  </xdr:two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05AA452-3C0B-4A09-8277-07BB70D711BC}"/>
            </a:ext>
            <a:ext uri="{147F2762-F138-4A5C-976F-8EAC2B608ADB}">
              <a16:predDERef xmlns:a16="http://schemas.microsoft.com/office/drawing/2014/main" pred="{B530C97E-9D3A-4116-9ECD-6416BFFD7664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B9FC5-7D4D-406E-B949-1BC464F3BEB9}" name="Inventory_List_Table346" displayName="Inventory_List_Table346" ref="B4:K29" headerRowDxfId="69" dataDxfId="68">
  <autoFilter ref="B4:K29" xr:uid="{00000000-0009-0000-0100-000001000000}"/>
  <tableColumns count="10">
    <tableColumn id="1" xr3:uid="{7FABFE62-CB58-4587-A62C-2D4EECB6CDFF}" name="Para reordenar" totalsRowLabel="Total" dataDxfId="66" totalsRowDxfId="67">
      <calculatedColumnFormula>IFERROR((Inventory_List_Table346[[#This Row],[Quantidade]]&lt;=Inventory_List_Table346[[#This Row],[Coluna3]])*(Inventory_List_Table346[[#This Row],[Tem Estoque?]]="")*RealceValor,0)</calculatedColumnFormula>
    </tableColumn>
    <tableColumn id="3" xr3:uid="{19BD3475-2840-49BE-9967-55EF184F7A18}" name="Equipe" dataDxfId="64" totalsRowDxfId="65"/>
    <tableColumn id="5" xr3:uid="{682DB0F7-F5A9-4960-AE7D-7F31243866C8}" name="Solicitante" dataDxfId="62" totalsRowDxfId="63"/>
    <tableColumn id="2" xr3:uid="{DDF4571F-9B7F-496C-89A4-232AF957F721}" name="Código do Item" dataDxfId="60" totalsRowDxfId="61"/>
    <tableColumn id="4" xr3:uid="{8DC443CA-6902-4209-AEAA-854DDB050C38}" name="Descrição" dataDxfId="58" totalsRowDxfId="59"/>
    <tableColumn id="6" xr3:uid="{15AE6352-E751-41CC-9678-0B1469E3855A}" name="Quantidade" dataDxfId="56" totalsRowDxfId="57"/>
    <tableColumn id="8" xr3:uid="{204EB4E3-D40B-4DCC-8786-9AA9E17F4433}" name="Coluna3" dataDxfId="54" totalsRowDxfId="55"/>
    <tableColumn id="9" xr3:uid="{AE6B34A6-2648-4243-B341-7C2CC6AE0CBA}" name="Data de Entrega" dataDxfId="52" totalsRowDxfId="53"/>
    <tableColumn id="10" xr3:uid="{69684D57-807A-4116-A7C8-0DB8C2A0254C}" name="Quantidade a encomendar" dataDxfId="50" totalsRowDxfId="51"/>
    <tableColumn id="11" xr3:uid="{D19E8459-EB7D-45D6-9F6A-B7592C4D68F9}" name="Tem Estoque?" totalsRowFunction="count" dataDxfId="48" totalsRowDxfId="49"/>
  </tableColumns>
  <tableStyleInfo name="Tabela de empresa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_List_Table" displayName="Inventory_List_Table" ref="B4:K29" headerRowDxfId="45" dataDxfId="44">
  <autoFilter ref="B4:K29" xr:uid="{00000000-0009-0000-0100-000001000000}"/>
  <tableColumns count="10">
    <tableColumn id="1" xr3:uid="{00000000-0010-0000-0000-000001000000}" name="Para reordenar" totalsRowLabel="Total" dataDxfId="42" totalsRowDxfId="43">
      <calculatedColumnFormula>IFERROR((Inventory_List_Table[[#This Row],[Quantidade]]&lt;=Inventory_List_Table[[#This Row],[Dimensão]])*(Inventory_List_Table[[#This Row],[Tem Estoque?]]="")*RealceValor,0)</calculatedColumnFormula>
    </tableColumn>
    <tableColumn id="3" xr3:uid="{4A3A3903-C086-4D3E-9A81-84EAA2C6BB2B}" name="Equipe" dataDxfId="40" totalsRowDxfId="41"/>
    <tableColumn id="5" xr3:uid="{5883291B-324C-40A0-8DC6-D8CDC0694B03}" name="Solicitante" dataDxfId="38" totalsRowDxfId="39"/>
    <tableColumn id="2" xr3:uid="{00000000-0010-0000-0000-000002000000}" name="Código do Item" dataDxfId="36" totalsRowDxfId="37"/>
    <tableColumn id="4" xr3:uid="{00000000-0010-0000-0000-000004000000}" name="Descrição" dataDxfId="34" totalsRowDxfId="35"/>
    <tableColumn id="6" xr3:uid="{00000000-0010-0000-0000-000006000000}" name="Quantidade" dataDxfId="32" totalsRowDxfId="33"/>
    <tableColumn id="8" xr3:uid="{00000000-0010-0000-0000-000008000000}" name="Dimensão" dataDxfId="30" totalsRowDxfId="31"/>
    <tableColumn id="9" xr3:uid="{00000000-0010-0000-0000-000009000000}" name="Data de Entrega" dataDxfId="28" totalsRowDxfId="29"/>
    <tableColumn id="10" xr3:uid="{00000000-0010-0000-0000-00000A000000}" name="Quantidade a encomendar" dataDxfId="26" totalsRowDxfId="27"/>
    <tableColumn id="11" xr3:uid="{00000000-0010-0000-0000-00000B000000}" name="Tem Estoque?" totalsRowFunction="count" dataDxfId="24" totalsRowDxfId="25"/>
  </tableColumns>
  <tableStyleInfo name="Tabela de empresas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C46E31-DE8A-45E8-B115-A37082F68C6F}" name="Inventory_List_Table3" displayName="Inventory_List_Table3" ref="B4:K29" headerRowDxfId="21" dataDxfId="20">
  <autoFilter ref="B4:K29" xr:uid="{00000000-0009-0000-0100-000001000000}"/>
  <tableColumns count="10">
    <tableColumn id="1" xr3:uid="{BA901879-D30B-4F3D-91D5-E244555B7D67}" name="Para reordenar" totalsRowLabel="Total" dataDxfId="18" totalsRowDxfId="19">
      <calculatedColumnFormula>IFERROR((Inventory_List_Table3[[#This Row],[Quantidade]]&lt;=Inventory_List_Table3[[#This Row],[Coluna3]])*(Inventory_List_Table3[[#This Row],[Tem Estoque?]]="")*RealceValor,0)</calculatedColumnFormula>
    </tableColumn>
    <tableColumn id="3" xr3:uid="{AB321A69-48FF-4CC5-A5C1-5FA717666FA9}" name="Equipe" dataDxfId="16" totalsRowDxfId="17"/>
    <tableColumn id="5" xr3:uid="{2B17696A-6340-43D2-92F7-6DD9B5E2FF15}" name="Solicitante" dataDxfId="14" totalsRowDxfId="15"/>
    <tableColumn id="2" xr3:uid="{B1414B25-C580-4876-B8E5-31D5939F0C42}" name="Código do Item" dataDxfId="12" totalsRowDxfId="13"/>
    <tableColumn id="4" xr3:uid="{79B33905-A132-4D34-A592-DC63F288C3CE}" name="Descrição" dataDxfId="10" totalsRowDxfId="11"/>
    <tableColumn id="6" xr3:uid="{835F3D01-5D36-414F-A4EF-B89A435E33CA}" name="Quantidade" dataDxfId="8" totalsRowDxfId="9"/>
    <tableColumn id="8" xr3:uid="{6BF6746C-A45B-4E30-B666-133934B6CE38}" name="Coluna3" dataDxfId="6" totalsRowDxfId="7"/>
    <tableColumn id="9" xr3:uid="{32350F5B-59C1-4134-A1BC-B157ADD6DF08}" name="Data de Entrega" dataDxfId="4" totalsRowDxfId="5"/>
    <tableColumn id="10" xr3:uid="{6D18EEE9-F731-408B-9CCB-BF915CC7D6DB}" name="Quantidade a encomendar" dataDxfId="2" totalsRowDxfId="3"/>
    <tableColumn id="11" xr3:uid="{393A32B0-A9B1-4963-9FB6-44ADBEF19256}" name="Tem Estoque?" totalsRowFunction="count" dataDxfId="0" totalsRowDxfId="1"/>
  </tableColumns>
  <tableStyleInfo name="Tabela de empresas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5663-EBE8-448D-9971-8E410EB71F9A}">
  <sheetPr>
    <pageSetUpPr fitToPage="1"/>
  </sheetPr>
  <dimension ref="B1:L14"/>
  <sheetViews>
    <sheetView showGridLines="0" topLeftCell="A2" zoomScale="70" zoomScaleNormal="70" workbookViewId="0">
      <selection activeCell="N2" sqref="N2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11.6640625" style="6" customWidth="1"/>
    <col min="6" max="6" width="69.109375" style="6" bestFit="1" customWidth="1"/>
    <col min="7" max="7" width="23.109375" style="8" customWidth="1"/>
    <col min="8" max="8" width="10.88671875" style="8" hidden="1" customWidth="1"/>
    <col min="9" max="9" width="12.77734375" style="8" hidden="1" customWidth="1"/>
    <col min="10" max="10" width="14.33203125" style="8" hidden="1" customWidth="1"/>
    <col min="11" max="11" width="7.6640625" style="6" hidden="1" customWidth="1"/>
    <col min="12" max="12" width="1.77734375" style="4" customWidth="1"/>
    <col min="13" max="16384" width="8.77734375" style="4"/>
  </cols>
  <sheetData>
    <row r="1" spans="2:12" s="1" customFormat="1" ht="116.25" customHeight="1">
      <c r="B1" s="2"/>
      <c r="C1" s="2"/>
      <c r="D1" s="2"/>
      <c r="E1" s="5"/>
      <c r="F1" s="5"/>
      <c r="G1" s="7"/>
      <c r="H1" s="7"/>
      <c r="I1" s="7"/>
      <c r="L1" s="1" t="s">
        <v>0</v>
      </c>
    </row>
    <row r="2" spans="2:12" s="1" customFormat="1" ht="116.25" customHeight="1">
      <c r="B2" s="2"/>
      <c r="C2" s="2"/>
      <c r="D2" s="2"/>
      <c r="E2" s="17" t="s">
        <v>1</v>
      </c>
      <c r="F2" s="17"/>
      <c r="G2" s="17"/>
      <c r="H2" s="17"/>
      <c r="I2" s="7"/>
    </row>
    <row r="3" spans="2:12" ht="23.25" customHeight="1">
      <c r="E3" s="5"/>
      <c r="F3" s="5"/>
      <c r="G3" s="7"/>
      <c r="H3" s="7"/>
      <c r="I3" s="11"/>
      <c r="J3" s="12" t="s">
        <v>2</v>
      </c>
      <c r="K3" s="13" t="s">
        <v>3</v>
      </c>
    </row>
    <row r="4" spans="2:12" s="3" customFormat="1" ht="50.1" customHeight="1"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16" t="s">
        <v>10</v>
      </c>
      <c r="I4" s="9" t="s">
        <v>11</v>
      </c>
      <c r="J4" s="9" t="s">
        <v>12</v>
      </c>
      <c r="K4" s="9" t="s">
        <v>13</v>
      </c>
    </row>
    <row r="5" spans="2:12" ht="24" customHeight="1">
      <c r="B5" s="3">
        <f>IFERROR((Inventory_List_Table346[[#This Row],[Quantidade]]&lt;=Inventory_List_Table346[[#This Row],[Coluna3]])*(Inventory_List_Table346[[#This Row],[Tem Estoque?]]="")*RealceValor,0)</f>
        <v>0</v>
      </c>
      <c r="E5">
        <v>104428</v>
      </c>
      <c r="F5" t="s">
        <v>14</v>
      </c>
      <c r="G5" t="s">
        <v>15</v>
      </c>
      <c r="H5" s="8">
        <v>29</v>
      </c>
      <c r="I5" s="14"/>
      <c r="J5" s="8">
        <v>50</v>
      </c>
    </row>
    <row r="6" spans="2:12" ht="24" customHeight="1">
      <c r="B6" s="3">
        <f>IFERROR((Inventory_List_Table346[[#This Row],[Quantidade]]&lt;=Inventory_List_Table346[[#This Row],[Coluna3]])*(Inventory_List_Table346[[#This Row],[Tem Estoque?]]="")*RealceValor,0)</f>
        <v>0</v>
      </c>
      <c r="E6">
        <v>104429</v>
      </c>
      <c r="F6" t="s">
        <v>16</v>
      </c>
      <c r="G6" t="s">
        <v>17</v>
      </c>
      <c r="H6" s="8">
        <v>231</v>
      </c>
      <c r="J6" s="8">
        <v>50</v>
      </c>
    </row>
    <row r="7" spans="2:12" ht="24" customHeight="1">
      <c r="B7" s="3">
        <f>IFERROR((Inventory_List_Table346[[#This Row],[Quantidade]]&lt;=Inventory_List_Table346[[#This Row],[Coluna3]])*(Inventory_List_Table346[[#This Row],[Tem Estoque?]]="")*RealceValor,0)</f>
        <v>0</v>
      </c>
      <c r="E7">
        <v>14031</v>
      </c>
      <c r="F7" t="s">
        <v>18</v>
      </c>
      <c r="G7" t="s">
        <v>19</v>
      </c>
      <c r="H7" s="8">
        <v>114</v>
      </c>
      <c r="J7" s="8">
        <v>150</v>
      </c>
    </row>
    <row r="8" spans="2:12" ht="24" customHeight="1">
      <c r="B8" s="3">
        <f>IFERROR((Inventory_List_Table346[[#This Row],[Quantidade]]&lt;=Inventory_List_Table346[[#This Row],[Coluna3]])*(Inventory_List_Table346[[#This Row],[Tem Estoque?]]="")*RealceValor,0)</f>
        <v>0</v>
      </c>
      <c r="E8">
        <v>97304</v>
      </c>
      <c r="F8" t="s">
        <v>20</v>
      </c>
      <c r="G8" t="s">
        <v>21</v>
      </c>
      <c r="H8" s="8">
        <v>158</v>
      </c>
      <c r="J8" s="8">
        <v>50</v>
      </c>
    </row>
    <row r="9" spans="2:12" ht="24" customHeight="1">
      <c r="B9" s="3">
        <f>IFERROR((Inventory_List_Table346[[#This Row],[Quantidade]]&lt;=Inventory_List_Table346[[#This Row],[Coluna3]])*(Inventory_List_Table346[[#This Row],[Tem Estoque?]]="")*RealceValor,0)</f>
        <v>0</v>
      </c>
      <c r="E9">
        <v>16442</v>
      </c>
      <c r="F9" t="s">
        <v>22</v>
      </c>
      <c r="G9" t="s">
        <v>21</v>
      </c>
      <c r="H9" s="8">
        <v>39</v>
      </c>
      <c r="J9" s="8">
        <v>50</v>
      </c>
    </row>
    <row r="10" spans="2:12" ht="24" customHeight="1">
      <c r="E10" s="15">
        <v>71653</v>
      </c>
      <c r="F10" t="s">
        <v>23</v>
      </c>
      <c r="G10" t="s">
        <v>24</v>
      </c>
    </row>
    <row r="11" spans="2:12" ht="24" customHeight="1">
      <c r="E11" s="15">
        <v>28984</v>
      </c>
      <c r="F11" t="s">
        <v>25</v>
      </c>
      <c r="G11" t="s">
        <v>26</v>
      </c>
    </row>
    <row r="12" spans="2:12" ht="24" customHeight="1">
      <c r="E12" s="15">
        <v>53254</v>
      </c>
      <c r="F12" t="s">
        <v>27</v>
      </c>
      <c r="G12" t="s">
        <v>28</v>
      </c>
    </row>
    <row r="13" spans="2:12" ht="24" customHeight="1">
      <c r="E13">
        <v>26532</v>
      </c>
      <c r="F13" t="s">
        <v>29</v>
      </c>
      <c r="G13" t="s">
        <v>28</v>
      </c>
    </row>
    <row r="14" spans="2:12" ht="24" customHeight="1">
      <c r="E14">
        <v>28693</v>
      </c>
      <c r="F14" t="s">
        <v>30</v>
      </c>
      <c r="G14" t="s">
        <v>31</v>
      </c>
    </row>
  </sheetData>
  <mergeCells count="1">
    <mergeCell ref="E2:H2"/>
  </mergeCells>
  <conditionalFormatting sqref="B5:K29">
    <cfRule type="expression" dxfId="71" priority="2">
      <formula>$K5="Sim"</formula>
    </cfRule>
    <cfRule type="expression" dxfId="70" priority="3">
      <formula>$B5=1</formula>
    </cfRule>
  </conditionalFormatting>
  <dataValidations count="12">
    <dataValidation type="list" allowBlank="1" showInputMessage="1" showErrorMessage="1" sqref="K5" xr:uid="{037D67E8-A808-4950-AA1E-6746DC3ED6AE}">
      <formula1>"Não"</formula1>
    </dataValidation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1EE04E6E-FB7C-438F-914D-73BA59EE2EB8}"/>
    <dataValidation type="list" allowBlank="1" showInputMessage="1" showErrorMessage="1" prompt="Selecione Sim para habilitar o realce de itens para ordenar. Isso aplica uma sinalização na coluna B e realça a linha correspondente na tabela Lista de estoque. Selecionar Não apagará os destaques e a sinalização." sqref="K3" xr:uid="{3D9B3CA2-89DA-4E35-B90C-D9A39341785F}">
      <formula1>"Sim, Não"</formula1>
    </dataValidation>
    <dataValidation type="list" allowBlank="1" showInputMessage="1" showErrorMessage="1" sqref="K6:K29" xr:uid="{F103AF86-BC93-4A77-9AEF-46C4615D4605}">
      <formula1>"Sim"</formula1>
    </dataValidation>
    <dataValidation allowBlank="1" showInputMessage="1" showErrorMessage="1" prompt="Insira uma descrição do item nesta coluna" sqref="F4" xr:uid="{55454482-7A56-4297-9319-1ABE1C44D2AD}"/>
    <dataValidation allowBlank="1" showInputMessage="1" showErrorMessage="1" prompt="Insira a quantidade em estoque de cada item nesta coluna" sqref="G4" xr:uid="{9B5D6292-02B6-41AD-AD18-164ECBC305C1}"/>
    <dataValidation allowBlank="1" showInputMessage="1" showErrorMessage="1" prompt="Insira quantos dias faltam para realizar nova encomenda de cada item nesta coluna" sqref="I4" xr:uid="{2539F858-8217-4D6E-8022-384DC25F3B7B}"/>
    <dataValidation allowBlank="1" showInputMessage="1" showErrorMessage="1" prompt="Insira a quantidade a encomendar de cada item nesta coluna" sqref="J4" xr:uid="{18B6F914-9036-45B9-9649-94F31E4C4E4E}"/>
    <dataValidation allowBlank="1" showInputMessage="1" showErrorMessage="1" prompt="Insira sim se o item tiver sido descontinuado. Ao inserir Sim, a linha correspondente é realçada em cinza claro e o estilo da fonte é alterado para Tachado" sqref="K4" xr:uid="{E64B9DA5-0FDD-4BD5-A755-32E82B5A24CF}"/>
    <dataValidation allowBlank="1" showInputMessage="1" showErrorMessage="1" prompt="Insira a ID de estoque do item nesta coluna" sqref="E4" xr:uid="{95834364-E612-4504-B043-4068BF65A3AF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51D152A5-81E8-4343-9032-0C5D171296D4}"/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DD97EB77-0D6D-4DD8-9D02-44819D8BB4D2}"/>
  </dataValidations>
  <pageMargins left="0.25" right="0.25" top="0.75" bottom="0.75" header="0.3" footer="0.3"/>
  <pageSetup paperSize="9" scale="56" fitToHeight="0" orientation="portrait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9D23FAE-A160-41A6-91D6-7A9FD447F53F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L29"/>
  <sheetViews>
    <sheetView showGridLines="0" tabSelected="1" zoomScale="85" zoomScaleNormal="85" workbookViewId="0">
      <selection activeCell="G1" sqref="G1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11.6640625" style="6" customWidth="1"/>
    <col min="6" max="6" width="69.109375" style="6" bestFit="1" customWidth="1"/>
    <col min="7" max="7" width="23.109375" style="8" customWidth="1"/>
    <col min="8" max="8" width="10.88671875" style="8" hidden="1" customWidth="1"/>
    <col min="9" max="9" width="12.77734375" style="8" hidden="1" customWidth="1"/>
    <col min="10" max="10" width="14.33203125" style="8" hidden="1" customWidth="1"/>
    <col min="11" max="11" width="7.6640625" style="6" hidden="1" customWidth="1"/>
    <col min="12" max="12" width="1.77734375" style="4" customWidth="1"/>
    <col min="13" max="16384" width="8.77734375" style="4"/>
  </cols>
  <sheetData>
    <row r="1" spans="2:12" s="1" customFormat="1" ht="116.25" customHeight="1">
      <c r="B1" s="2"/>
      <c r="C1" s="2"/>
      <c r="D1" s="2"/>
      <c r="E1" s="5"/>
      <c r="F1" s="5"/>
      <c r="G1" s="7"/>
      <c r="H1" s="7"/>
      <c r="I1" s="7"/>
      <c r="L1" s="1" t="s">
        <v>0</v>
      </c>
    </row>
    <row r="2" spans="2:12" s="1" customFormat="1" ht="116.25" customHeight="1">
      <c r="B2" s="2"/>
      <c r="C2" s="2"/>
      <c r="D2" s="2"/>
      <c r="E2" s="17" t="s">
        <v>32</v>
      </c>
      <c r="F2" s="17"/>
      <c r="G2" s="17"/>
      <c r="H2" s="17"/>
      <c r="I2" s="7"/>
    </row>
    <row r="3" spans="2:12" ht="23.25" customHeight="1">
      <c r="E3" s="10"/>
      <c r="F3" s="10"/>
      <c r="G3" s="11"/>
      <c r="H3" s="11"/>
      <c r="I3" s="11"/>
      <c r="J3" s="12" t="s">
        <v>2</v>
      </c>
      <c r="K3" s="13" t="s">
        <v>3</v>
      </c>
    </row>
    <row r="4" spans="2:12" s="3" customFormat="1" ht="50.1" customHeight="1"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33</v>
      </c>
      <c r="I4" s="9" t="s">
        <v>11</v>
      </c>
      <c r="J4" s="9" t="s">
        <v>12</v>
      </c>
      <c r="K4" s="9" t="s">
        <v>13</v>
      </c>
    </row>
    <row r="5" spans="2:12" ht="24" customHeight="1">
      <c r="B5" s="3">
        <f>IFERROR((Inventory_List_Table[[#This Row],[Quantidade]]&lt;=Inventory_List_Table[[#This Row],[Dimensão]])*(Inventory_List_Table[[#This Row],[Tem Estoque?]]="")*RealceValor,0)</f>
        <v>0</v>
      </c>
      <c r="E5" s="6">
        <v>41972</v>
      </c>
      <c r="F5" s="6" t="s">
        <v>34</v>
      </c>
      <c r="G5" s="8" t="s">
        <v>35</v>
      </c>
      <c r="H5" s="8">
        <v>29</v>
      </c>
      <c r="I5" s="14"/>
      <c r="J5" s="8">
        <v>50</v>
      </c>
    </row>
    <row r="6" spans="2:12" ht="24" customHeight="1">
      <c r="B6" s="3">
        <f>IFERROR((Inventory_List_Table[[#This Row],[Quantidade]]&lt;=Inventory_List_Table[[#This Row],[Dimensão]])*(Inventory_List_Table[[#This Row],[Tem Estoque?]]="")*RealceValor,0)</f>
        <v>0</v>
      </c>
      <c r="E6" s="6" t="s">
        <v>36</v>
      </c>
      <c r="F6" s="6" t="s">
        <v>37</v>
      </c>
      <c r="G6" s="8" t="s">
        <v>38</v>
      </c>
      <c r="H6" s="8">
        <v>231</v>
      </c>
      <c r="J6" s="8">
        <v>50</v>
      </c>
    </row>
    <row r="7" spans="2:12" ht="24" customHeight="1">
      <c r="B7" s="3">
        <f>IFERROR((Inventory_List_Table[[#This Row],[Quantidade]]&lt;=Inventory_List_Table[[#This Row],[Dimensão]])*(Inventory_List_Table[[#This Row],[Tem Estoque?]]="")*RealceValor,0)</f>
        <v>0</v>
      </c>
      <c r="E7" s="6">
        <v>95860</v>
      </c>
      <c r="F7" s="6" t="s">
        <v>39</v>
      </c>
      <c r="G7" s="8" t="s">
        <v>40</v>
      </c>
      <c r="H7" s="8">
        <v>114</v>
      </c>
      <c r="J7" s="8">
        <v>150</v>
      </c>
    </row>
    <row r="8" spans="2:12" ht="24" customHeight="1">
      <c r="B8" s="3">
        <f>IFERROR((Inventory_List_Table[[#This Row],[Quantidade]]&lt;=Inventory_List_Table[[#This Row],[Dimensão]])*(Inventory_List_Table[[#This Row],[Tem Estoque?]]="")*RealceValor,0)</f>
        <v>0</v>
      </c>
      <c r="E8" s="6">
        <v>19674</v>
      </c>
      <c r="F8" s="6" t="s">
        <v>41</v>
      </c>
      <c r="G8" s="8" t="s">
        <v>42</v>
      </c>
      <c r="H8" s="8">
        <v>158</v>
      </c>
      <c r="J8" s="8">
        <v>50</v>
      </c>
    </row>
    <row r="9" spans="2:12" ht="24" customHeight="1">
      <c r="B9" s="3">
        <f>IFERROR((Inventory_List_Table[[#This Row],[Quantidade]]&lt;=Inventory_List_Table[[#This Row],[Dimensão]])*(Inventory_List_Table[[#This Row],[Tem Estoque?]]="")*RealceValor,0)</f>
        <v>0</v>
      </c>
      <c r="E9" s="6">
        <v>32294</v>
      </c>
      <c r="F9" s="6" t="s">
        <v>43</v>
      </c>
      <c r="G9" s="8" t="s">
        <v>44</v>
      </c>
      <c r="H9" s="8">
        <v>39</v>
      </c>
      <c r="J9" s="8">
        <v>50</v>
      </c>
    </row>
    <row r="10" spans="2:12" ht="24" customHeight="1">
      <c r="B10" s="3">
        <f>IFERROR((Inventory_List_Table[[#This Row],[Quantidade]]&lt;=Inventory_List_Table[[#This Row],[Dimensão]])*(Inventory_List_Table[[#This Row],[Tem Estoque?]]="")*RealceValor,0)</f>
        <v>0</v>
      </c>
      <c r="E10" s="6">
        <v>14467</v>
      </c>
      <c r="F10" s="6" t="s">
        <v>45</v>
      </c>
      <c r="G10" s="8" t="s">
        <v>46</v>
      </c>
      <c r="H10" s="8">
        <v>9</v>
      </c>
      <c r="J10" s="8">
        <v>150</v>
      </c>
    </row>
    <row r="11" spans="2:12" ht="24" customHeight="1">
      <c r="B11" s="3">
        <f>IFERROR((Inventory_List_Table[[#This Row],[Quantidade]]&lt;=Inventory_List_Table[[#This Row],[Dimensão]])*(Inventory_List_Table[[#This Row],[Tem Estoque?]]="")*RealceValor,0)</f>
        <v>0</v>
      </c>
      <c r="E11" s="6">
        <v>50705</v>
      </c>
      <c r="F11" s="6" t="s">
        <v>47</v>
      </c>
      <c r="G11" s="8" t="s">
        <v>48</v>
      </c>
      <c r="H11" s="8">
        <v>109</v>
      </c>
      <c r="J11" s="8">
        <v>100</v>
      </c>
    </row>
    <row r="12" spans="2:12" ht="24" customHeight="1">
      <c r="B12" s="3">
        <f>IFERROR((Inventory_List_Table[[#This Row],[Quantidade]]&lt;=Inventory_List_Table[[#This Row],[Dimensão]])*(Inventory_List_Table[[#This Row],[Tem Estoque?]]="")*RealceValor,0)</f>
        <v>0</v>
      </c>
      <c r="E12" s="6">
        <v>99159</v>
      </c>
      <c r="F12" s="6" t="s">
        <v>49</v>
      </c>
      <c r="G12" s="8" t="s">
        <v>50</v>
      </c>
      <c r="H12" s="8">
        <v>162</v>
      </c>
      <c r="J12" s="8">
        <v>100</v>
      </c>
    </row>
    <row r="13" spans="2:12" ht="24" customHeight="1">
      <c r="B13" s="3">
        <f>IFERROR((Inventory_List_Table[[#This Row],[Quantidade]]&lt;=Inventory_List_Table[[#This Row],[Dimensão]])*(Inventory_List_Table[[#This Row],[Tem Estoque?]]="")*RealceValor,0)</f>
        <v>0</v>
      </c>
      <c r="E13" s="6">
        <v>99165</v>
      </c>
      <c r="F13" s="6" t="s">
        <v>51</v>
      </c>
      <c r="G13" s="8" t="s">
        <v>52</v>
      </c>
      <c r="H13" s="8">
        <v>82</v>
      </c>
      <c r="J13" s="8">
        <v>150</v>
      </c>
    </row>
    <row r="14" spans="2:12" ht="24" customHeight="1">
      <c r="B14" s="3">
        <f>IFERROR((Inventory_List_Table[[#This Row],[Quantidade]]&lt;=Inventory_List_Table[[#This Row],[Dimensão]])*(Inventory_List_Table[[#This Row],[Tem Estoque?]]="")*RealceValor,0)</f>
        <v>0</v>
      </c>
      <c r="E14" s="6">
        <v>31821</v>
      </c>
      <c r="F14" s="6" t="s">
        <v>53</v>
      </c>
      <c r="G14" s="8" t="s">
        <v>54</v>
      </c>
      <c r="H14" s="8">
        <v>283</v>
      </c>
      <c r="J14" s="8">
        <v>150</v>
      </c>
    </row>
    <row r="15" spans="2:12" ht="24" customHeight="1">
      <c r="B15" s="3">
        <f>IFERROR((Inventory_List_Table[[#This Row],[Quantidade]]&lt;=Inventory_List_Table[[#This Row],[Dimensão]])*(Inventory_List_Table[[#This Row],[Tem Estoque?]]="")*RealceValor,0)</f>
        <v>1</v>
      </c>
      <c r="H15" s="8">
        <v>229</v>
      </c>
      <c r="J15" s="8">
        <v>100</v>
      </c>
    </row>
    <row r="16" spans="2:12" ht="24" customHeight="1">
      <c r="B16" s="3">
        <f>IFERROR((Inventory_List_Table[[#This Row],[Quantidade]]&lt;=Inventory_List_Table[[#This Row],[Dimensão]])*(Inventory_List_Table[[#This Row],[Tem Estoque?]]="")*RealceValor,0)</f>
        <v>1</v>
      </c>
      <c r="H16" s="8">
        <v>36</v>
      </c>
      <c r="J16" s="8">
        <v>50</v>
      </c>
    </row>
    <row r="17" spans="2:11" ht="24" customHeight="1">
      <c r="B17" s="3">
        <f>IFERROR((Inventory_List_Table[[#This Row],[Quantidade]]&lt;=Inventory_List_Table[[#This Row],[Dimensão]])*(Inventory_List_Table[[#This Row],[Tem Estoque?]]="")*RealceValor,0)</f>
        <v>1</v>
      </c>
      <c r="H17" s="8">
        <v>102</v>
      </c>
      <c r="J17" s="8">
        <v>100</v>
      </c>
    </row>
    <row r="18" spans="2:11" ht="24" customHeight="1">
      <c r="B18" s="3">
        <f>IFERROR((Inventory_List_Table[[#This Row],[Quantidade]]&lt;=Inventory_List_Table[[#This Row],[Dimensão]])*(Inventory_List_Table[[#This Row],[Tem Estoque?]]="")*RealceValor,0)</f>
        <v>1</v>
      </c>
      <c r="H18" s="8">
        <v>83</v>
      </c>
      <c r="J18" s="8">
        <v>100</v>
      </c>
    </row>
    <row r="19" spans="2:11" ht="24" customHeight="1">
      <c r="B19" s="3">
        <f>IFERROR((Inventory_List_Table[[#This Row],[Quantidade]]&lt;=Inventory_List_Table[[#This Row],[Dimensão]])*(Inventory_List_Table[[#This Row],[Tem Estoque?]]="")*RealceValor,0)</f>
        <v>1</v>
      </c>
      <c r="H19" s="8">
        <v>23</v>
      </c>
      <c r="J19" s="8">
        <v>50</v>
      </c>
    </row>
    <row r="20" spans="2:11" ht="24" customHeight="1">
      <c r="B20" s="3">
        <f>IFERROR((Inventory_List_Table[[#This Row],[Quantidade]]&lt;=Inventory_List_Table[[#This Row],[Dimensão]])*(Inventory_List_Table[[#This Row],[Tem Estoque?]]="")*RealceValor,0)</f>
        <v>1</v>
      </c>
      <c r="H20" s="8">
        <v>180</v>
      </c>
      <c r="J20" s="8">
        <v>50</v>
      </c>
    </row>
    <row r="21" spans="2:11" ht="24" customHeight="1">
      <c r="B21" s="3">
        <f>IFERROR((Inventory_List_Table[[#This Row],[Quantidade]]&lt;=Inventory_List_Table[[#This Row],[Dimensão]])*(Inventory_List_Table[[#This Row],[Tem Estoque?]]="")*RealceValor,0)</f>
        <v>0</v>
      </c>
      <c r="H21" s="8">
        <v>98</v>
      </c>
      <c r="J21" s="8">
        <v>50</v>
      </c>
      <c r="K21" s="6" t="s">
        <v>3</v>
      </c>
    </row>
    <row r="22" spans="2:11" ht="24" customHeight="1">
      <c r="B22" s="3">
        <f>IFERROR((Inventory_List_Table[[#This Row],[Quantidade]]&lt;=Inventory_List_Table[[#This Row],[Dimensão]])*(Inventory_List_Table[[#This Row],[Tem Estoque?]]="")*RealceValor,0)</f>
        <v>1</v>
      </c>
      <c r="H22" s="8">
        <v>7</v>
      </c>
      <c r="J22" s="8">
        <v>50</v>
      </c>
    </row>
    <row r="23" spans="2:11" ht="24" customHeight="1">
      <c r="B23" s="3">
        <f>IFERROR((Inventory_List_Table[[#This Row],[Quantidade]]&lt;=Inventory_List_Table[[#This Row],[Dimensão]])*(Inventory_List_Table[[#This Row],[Tem Estoque?]]="")*RealceValor,0)</f>
        <v>1</v>
      </c>
      <c r="H23" s="8">
        <v>164</v>
      </c>
      <c r="J23" s="8">
        <v>150</v>
      </c>
    </row>
    <row r="24" spans="2:11" ht="24" customHeight="1">
      <c r="B24" s="3">
        <f>IFERROR((Inventory_List_Table[[#This Row],[Quantidade]]&lt;=Inventory_List_Table[[#This Row],[Dimensão]])*(Inventory_List_Table[[#This Row],[Tem Estoque?]]="")*RealceValor,0)</f>
        <v>1</v>
      </c>
      <c r="H24" s="8">
        <v>113</v>
      </c>
      <c r="J24" s="8">
        <v>50</v>
      </c>
    </row>
    <row r="25" spans="2:11" ht="24" customHeight="1">
      <c r="B25" s="3">
        <f>IFERROR((Inventory_List_Table[[#This Row],[Quantidade]]&lt;=Inventory_List_Table[[#This Row],[Dimensão]])*(Inventory_List_Table[[#This Row],[Tem Estoque?]]="")*RealceValor,0)</f>
        <v>1</v>
      </c>
      <c r="H25" s="8">
        <v>75</v>
      </c>
      <c r="J25" s="8">
        <v>50</v>
      </c>
    </row>
    <row r="26" spans="2:11" ht="24" customHeight="1">
      <c r="B26" s="3">
        <f>IFERROR((Inventory_List_Table[[#This Row],[Quantidade]]&lt;=Inventory_List_Table[[#This Row],[Dimensão]])*(Inventory_List_Table[[#This Row],[Tem Estoque?]]="")*RealceValor,0)</f>
        <v>1</v>
      </c>
      <c r="H26" s="8">
        <v>132</v>
      </c>
      <c r="J26" s="8">
        <v>150</v>
      </c>
    </row>
    <row r="27" spans="2:11" ht="24" customHeight="1">
      <c r="B27" s="3">
        <f>IFERROR((Inventory_List_Table[[#This Row],[Quantidade]]&lt;=Inventory_List_Table[[#This Row],[Dimensão]])*(Inventory_List_Table[[#This Row],[Tem Estoque?]]="")*RealceValor,0)</f>
        <v>0</v>
      </c>
      <c r="H27" s="8">
        <v>142</v>
      </c>
      <c r="J27" s="8">
        <v>150</v>
      </c>
      <c r="K27" s="6" t="s">
        <v>3</v>
      </c>
    </row>
    <row r="28" spans="2:11" ht="24" customHeight="1">
      <c r="B28" s="3">
        <f>IFERROR((Inventory_List_Table[[#This Row],[Quantidade]]&lt;=Inventory_List_Table[[#This Row],[Dimensão]])*(Inventory_List_Table[[#This Row],[Tem Estoque?]]="")*RealceValor,0)</f>
        <v>1</v>
      </c>
      <c r="H28" s="8">
        <v>127</v>
      </c>
      <c r="J28" s="8">
        <v>100</v>
      </c>
    </row>
    <row r="29" spans="2:11" ht="24" customHeight="1">
      <c r="B29" s="3">
        <f>IFERROR((Inventory_List_Table[[#This Row],[Quantidade]]&lt;=Inventory_List_Table[[#This Row],[Dimensão]])*(Inventory_List_Table[[#This Row],[Tem Estoque?]]="")*RealceValor,0)</f>
        <v>1</v>
      </c>
      <c r="H29" s="8">
        <v>21</v>
      </c>
      <c r="J29" s="8">
        <v>50</v>
      </c>
    </row>
  </sheetData>
  <mergeCells count="1">
    <mergeCell ref="E2:H2"/>
  </mergeCells>
  <conditionalFormatting sqref="B5:K29">
    <cfRule type="expression" dxfId="47" priority="10">
      <formula>$K5="Sim"</formula>
    </cfRule>
    <cfRule type="expression" dxfId="46" priority="11">
      <formula>$B5=1</formula>
    </cfRule>
  </conditionalFormatting>
  <dataValidations xWindow="67" yWindow="628" count="13"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00000000-0002-0000-0000-000000000000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00000000-0002-0000-0000-000001000000}"/>
    <dataValidation allowBlank="1" showInputMessage="1" showErrorMessage="1" prompt="Insira a ID de estoque do item nesta coluna" sqref="E4" xr:uid="{00000000-0002-0000-0000-000002000000}"/>
    <dataValidation allowBlank="1" showInputMessage="1" showErrorMessage="1" prompt="Insira sim se o item tiver sido descontinuado. Ao inserir Sim, a linha correspondente é realçada em cinza claro e o estilo da fonte é alterado para Tachado" sqref="K4" xr:uid="{00000000-0002-0000-0000-000004000000}"/>
    <dataValidation allowBlank="1" showInputMessage="1" showErrorMessage="1" prompt="Insira a quantidade a encomendar de cada item nesta coluna" sqref="J4" xr:uid="{00000000-0002-0000-0000-000005000000}"/>
    <dataValidation allowBlank="1" showInputMessage="1" showErrorMessage="1" prompt="Insira quantos dias faltam para realizar nova encomenda de cada item nesta coluna" sqref="I4" xr:uid="{00000000-0002-0000-0000-000006000000}"/>
    <dataValidation allowBlank="1" showInputMessage="1" showErrorMessage="1" prompt="Insira o nível de estoque de cada item nesta coluna" sqref="H4" xr:uid="{00000000-0002-0000-0000-000007000000}"/>
    <dataValidation allowBlank="1" showInputMessage="1" showErrorMessage="1" prompt="Insira a quantidade em estoque de cada item nesta coluna" sqref="G4" xr:uid="{00000000-0002-0000-0000-000009000000}"/>
    <dataValidation allowBlank="1" showInputMessage="1" showErrorMessage="1" prompt="Insira uma descrição do item nesta coluna" sqref="F4" xr:uid="{00000000-0002-0000-0000-00000B000000}"/>
    <dataValidation type="list" allowBlank="1" showInputMessage="1" showErrorMessage="1" sqref="K6:K29" xr:uid="{00000000-0002-0000-0000-00000C000000}">
      <formula1>"Sim"</formula1>
    </dataValidation>
    <dataValidation type="list" allowBlank="1" showInputMessage="1" showErrorMessage="1" prompt="Selecione Sim para habilitar o realce de itens para ordenar. Isso aplica uma sinalização na coluna B e realça a linha correspondente na tabela Lista de estoque. Selecionar Não apagará os destaques e a sinalização." sqref="K3" xr:uid="{00000000-0002-0000-0000-00000D000000}">
      <formula1>"Sim, Não"</formula1>
    </dataValidation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00000000-0002-0000-0000-00000E000000}"/>
    <dataValidation type="list" allowBlank="1" showInputMessage="1" showErrorMessage="1" sqref="K5" xr:uid="{34613575-83BA-4D03-89AF-6E3FD313D191}">
      <formula1>"Não"</formula1>
    </dataValidation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22614FA3-6814-43BC-85E4-CF5B29361B4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927C-DD3A-4D53-B86C-B99BB957EC0F}">
  <sheetPr>
    <pageSetUpPr fitToPage="1"/>
  </sheetPr>
  <dimension ref="B1:L29"/>
  <sheetViews>
    <sheetView showGridLines="0" topLeftCell="A2" zoomScale="70" zoomScaleNormal="70" workbookViewId="0">
      <selection activeCell="G3" sqref="G3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11.6640625" style="6" customWidth="1"/>
    <col min="6" max="6" width="69.109375" style="6" bestFit="1" customWidth="1"/>
    <col min="7" max="7" width="23.109375" style="8" customWidth="1"/>
    <col min="8" max="8" width="10.88671875" style="8" hidden="1" customWidth="1"/>
    <col min="9" max="9" width="12.77734375" style="8" hidden="1" customWidth="1"/>
    <col min="10" max="10" width="14.33203125" style="8" hidden="1" customWidth="1"/>
    <col min="11" max="11" width="7.6640625" style="6" hidden="1" customWidth="1"/>
    <col min="12" max="12" width="1.77734375" style="4" customWidth="1"/>
    <col min="13" max="16384" width="8.77734375" style="4"/>
  </cols>
  <sheetData>
    <row r="1" spans="2:12" s="1" customFormat="1" ht="116.25" customHeight="1">
      <c r="B1" s="2"/>
      <c r="C1" s="2"/>
      <c r="D1" s="2"/>
      <c r="E1" s="5"/>
      <c r="F1" s="5"/>
      <c r="G1" s="7" t="s">
        <v>55</v>
      </c>
      <c r="H1" s="7"/>
      <c r="I1" s="7"/>
      <c r="L1" s="1" t="s">
        <v>0</v>
      </c>
    </row>
    <row r="2" spans="2:12" s="1" customFormat="1" ht="116.25" customHeight="1">
      <c r="B2" s="2"/>
      <c r="C2" s="2"/>
      <c r="D2" s="2"/>
      <c r="E2" s="17" t="s">
        <v>56</v>
      </c>
      <c r="F2" s="17"/>
      <c r="G2" s="17"/>
      <c r="H2" s="17"/>
      <c r="I2" s="7"/>
    </row>
    <row r="3" spans="2:12" ht="23.25" customHeight="1">
      <c r="E3" s="5"/>
      <c r="F3" s="5"/>
      <c r="G3" s="7"/>
      <c r="H3" s="7"/>
      <c r="I3" s="11"/>
      <c r="J3" s="12" t="s">
        <v>2</v>
      </c>
      <c r="K3" s="13" t="s">
        <v>3</v>
      </c>
    </row>
    <row r="4" spans="2:12" s="3" customFormat="1" ht="50.1" customHeight="1"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16" t="s">
        <v>10</v>
      </c>
      <c r="I4" s="9" t="s">
        <v>11</v>
      </c>
      <c r="J4" s="9" t="s">
        <v>12</v>
      </c>
      <c r="K4" s="9" t="s">
        <v>13</v>
      </c>
    </row>
    <row r="5" spans="2:12" ht="24" customHeight="1">
      <c r="B5" s="3">
        <f>IFERROR((Inventory_List_Table3[[#This Row],[Quantidade]]&lt;=Inventory_List_Table3[[#This Row],[Coluna3]])*(Inventory_List_Table3[[#This Row],[Tem Estoque?]]="")*RealceValor,0)</f>
        <v>0</v>
      </c>
      <c r="E5" s="6">
        <v>41972</v>
      </c>
      <c r="F5" s="6" t="s">
        <v>34</v>
      </c>
      <c r="G5" s="8" t="s">
        <v>35</v>
      </c>
      <c r="H5" s="8">
        <v>29</v>
      </c>
      <c r="I5" s="14"/>
      <c r="J5" s="8">
        <v>50</v>
      </c>
    </row>
    <row r="6" spans="2:12" ht="24" customHeight="1">
      <c r="B6" s="3">
        <f>IFERROR((Inventory_List_Table3[[#This Row],[Quantidade]]&lt;=Inventory_List_Table3[[#This Row],[Coluna3]])*(Inventory_List_Table3[[#This Row],[Tem Estoque?]]="")*RealceValor,0)</f>
        <v>0</v>
      </c>
      <c r="E6" s="6" t="s">
        <v>36</v>
      </c>
      <c r="F6" s="6" t="s">
        <v>37</v>
      </c>
      <c r="G6" s="8" t="s">
        <v>57</v>
      </c>
      <c r="H6" s="8">
        <v>231</v>
      </c>
      <c r="J6" s="8">
        <v>50</v>
      </c>
    </row>
    <row r="7" spans="2:12" ht="24" customHeight="1">
      <c r="B7" s="3">
        <f>IFERROR((Inventory_List_Table3[[#This Row],[Quantidade]]&lt;=Inventory_List_Table3[[#This Row],[Coluna3]])*(Inventory_List_Table3[[#This Row],[Tem Estoque?]]="")*RealceValor,0)</f>
        <v>0</v>
      </c>
      <c r="E7" s="6">
        <v>95860</v>
      </c>
      <c r="F7" s="6" t="s">
        <v>39</v>
      </c>
      <c r="G7" s="8" t="s">
        <v>40</v>
      </c>
      <c r="H7" s="8">
        <v>114</v>
      </c>
      <c r="J7" s="8">
        <v>150</v>
      </c>
    </row>
    <row r="8" spans="2:12" ht="24" customHeight="1">
      <c r="B8" s="3">
        <f>IFERROR((Inventory_List_Table3[[#This Row],[Quantidade]]&lt;=Inventory_List_Table3[[#This Row],[Coluna3]])*(Inventory_List_Table3[[#This Row],[Tem Estoque?]]="")*RealceValor,0)</f>
        <v>0</v>
      </c>
      <c r="E8" s="6">
        <v>19674</v>
      </c>
      <c r="F8" s="6" t="s">
        <v>41</v>
      </c>
      <c r="G8" s="8" t="s">
        <v>42</v>
      </c>
      <c r="H8" s="8">
        <v>158</v>
      </c>
      <c r="J8" s="8">
        <v>50</v>
      </c>
    </row>
    <row r="9" spans="2:12" ht="24" customHeight="1">
      <c r="B9" s="3">
        <f>IFERROR((Inventory_List_Table3[[#This Row],[Quantidade]]&lt;=Inventory_List_Table3[[#This Row],[Coluna3]])*(Inventory_List_Table3[[#This Row],[Tem Estoque?]]="")*RealceValor,0)</f>
        <v>0</v>
      </c>
      <c r="E9" s="6">
        <v>32294</v>
      </c>
      <c r="F9" s="6" t="s">
        <v>43</v>
      </c>
      <c r="G9" s="8" t="s">
        <v>44</v>
      </c>
      <c r="H9" s="8">
        <v>39</v>
      </c>
      <c r="J9" s="8">
        <v>50</v>
      </c>
    </row>
    <row r="10" spans="2:12" ht="24" customHeight="1">
      <c r="B10" s="3">
        <f>IFERROR((Inventory_List_Table3[[#This Row],[Quantidade]]&lt;=Inventory_List_Table3[[#This Row],[Coluna3]])*(Inventory_List_Table3[[#This Row],[Tem Estoque?]]="")*RealceValor,0)</f>
        <v>0</v>
      </c>
      <c r="E10" s="6">
        <v>14467</v>
      </c>
      <c r="F10" s="6" t="s">
        <v>45</v>
      </c>
      <c r="G10" s="8" t="s">
        <v>46</v>
      </c>
      <c r="H10" s="8">
        <v>9</v>
      </c>
      <c r="J10" s="8">
        <v>150</v>
      </c>
    </row>
    <row r="11" spans="2:12" ht="24" customHeight="1">
      <c r="B11" s="3">
        <f>IFERROR((Inventory_List_Table3[[#This Row],[Quantidade]]&lt;=Inventory_List_Table3[[#This Row],[Coluna3]])*(Inventory_List_Table3[[#This Row],[Tem Estoque?]]="")*RealceValor,0)</f>
        <v>0</v>
      </c>
      <c r="E11" s="6">
        <v>50705</v>
      </c>
      <c r="F11" s="6" t="s">
        <v>47</v>
      </c>
      <c r="G11" s="8" t="s">
        <v>48</v>
      </c>
      <c r="H11" s="8">
        <v>109</v>
      </c>
      <c r="J11" s="8">
        <v>100</v>
      </c>
    </row>
    <row r="12" spans="2:12" ht="24" customHeight="1">
      <c r="B12" s="3">
        <f>IFERROR((Inventory_List_Table3[[#This Row],[Quantidade]]&lt;=Inventory_List_Table3[[#This Row],[Coluna3]])*(Inventory_List_Table3[[#This Row],[Tem Estoque?]]="")*RealceValor,0)</f>
        <v>0</v>
      </c>
      <c r="E12" s="6">
        <v>99159</v>
      </c>
      <c r="F12" s="6" t="s">
        <v>49</v>
      </c>
      <c r="G12" s="8" t="s">
        <v>50</v>
      </c>
      <c r="H12" s="8">
        <v>162</v>
      </c>
      <c r="J12" s="8">
        <v>100</v>
      </c>
    </row>
    <row r="13" spans="2:12" ht="24" customHeight="1">
      <c r="B13" s="3">
        <f>IFERROR((Inventory_List_Table3[[#This Row],[Quantidade]]&lt;=Inventory_List_Table3[[#This Row],[Coluna3]])*(Inventory_List_Table3[[#This Row],[Tem Estoque?]]="")*RealceValor,0)</f>
        <v>0</v>
      </c>
      <c r="E13" s="6">
        <v>99165</v>
      </c>
      <c r="F13" s="6" t="s">
        <v>51</v>
      </c>
      <c r="G13" s="8" t="s">
        <v>52</v>
      </c>
      <c r="H13" s="8">
        <v>82</v>
      </c>
      <c r="J13" s="8">
        <v>150</v>
      </c>
    </row>
    <row r="14" spans="2:12" ht="24" customHeight="1">
      <c r="B14" s="3">
        <f>IFERROR((Inventory_List_Table3[[#This Row],[Quantidade]]&lt;=Inventory_List_Table3[[#This Row],[Coluna3]])*(Inventory_List_Table3[[#This Row],[Tem Estoque?]]="")*RealceValor,0)</f>
        <v>0</v>
      </c>
      <c r="E14" s="6">
        <v>31821</v>
      </c>
      <c r="F14" s="6" t="s">
        <v>53</v>
      </c>
      <c r="G14" s="8" t="s">
        <v>54</v>
      </c>
      <c r="H14" s="8">
        <v>283</v>
      </c>
      <c r="J14" s="8">
        <v>150</v>
      </c>
    </row>
    <row r="15" spans="2:12" ht="24" customHeight="1">
      <c r="B15" s="3">
        <f>IFERROR((Inventory_List_Table3[[#This Row],[Quantidade]]&lt;=Inventory_List_Table3[[#This Row],[Coluna3]])*(Inventory_List_Table3[[#This Row],[Tem Estoque?]]="")*RealceValor,0)</f>
        <v>1</v>
      </c>
      <c r="H15" s="8">
        <v>229</v>
      </c>
      <c r="J15" s="8">
        <v>100</v>
      </c>
    </row>
    <row r="16" spans="2:12" ht="24" customHeight="1">
      <c r="B16" s="3">
        <f>IFERROR((Inventory_List_Table3[[#This Row],[Quantidade]]&lt;=Inventory_List_Table3[[#This Row],[Coluna3]])*(Inventory_List_Table3[[#This Row],[Tem Estoque?]]="")*RealceValor,0)</f>
        <v>1</v>
      </c>
      <c r="H16" s="8">
        <v>36</v>
      </c>
      <c r="J16" s="8">
        <v>50</v>
      </c>
    </row>
    <row r="17" spans="2:11" ht="24" customHeight="1">
      <c r="B17" s="3">
        <f>IFERROR((Inventory_List_Table3[[#This Row],[Quantidade]]&lt;=Inventory_List_Table3[[#This Row],[Coluna3]])*(Inventory_List_Table3[[#This Row],[Tem Estoque?]]="")*RealceValor,0)</f>
        <v>1</v>
      </c>
      <c r="H17" s="8">
        <v>102</v>
      </c>
      <c r="J17" s="8">
        <v>100</v>
      </c>
    </row>
    <row r="18" spans="2:11" ht="24" customHeight="1">
      <c r="B18" s="3">
        <f>IFERROR((Inventory_List_Table3[[#This Row],[Quantidade]]&lt;=Inventory_List_Table3[[#This Row],[Coluna3]])*(Inventory_List_Table3[[#This Row],[Tem Estoque?]]="")*RealceValor,0)</f>
        <v>1</v>
      </c>
      <c r="H18" s="8">
        <v>83</v>
      </c>
      <c r="J18" s="8">
        <v>100</v>
      </c>
    </row>
    <row r="19" spans="2:11" ht="24" customHeight="1">
      <c r="B19" s="3">
        <f>IFERROR((Inventory_List_Table3[[#This Row],[Quantidade]]&lt;=Inventory_List_Table3[[#This Row],[Coluna3]])*(Inventory_List_Table3[[#This Row],[Tem Estoque?]]="")*RealceValor,0)</f>
        <v>1</v>
      </c>
      <c r="H19" s="8">
        <v>23</v>
      </c>
      <c r="J19" s="8">
        <v>50</v>
      </c>
    </row>
    <row r="20" spans="2:11" ht="24" customHeight="1">
      <c r="B20" s="3">
        <f>IFERROR((Inventory_List_Table3[[#This Row],[Quantidade]]&lt;=Inventory_List_Table3[[#This Row],[Coluna3]])*(Inventory_List_Table3[[#This Row],[Tem Estoque?]]="")*RealceValor,0)</f>
        <v>1</v>
      </c>
      <c r="H20" s="8">
        <v>180</v>
      </c>
      <c r="J20" s="8">
        <v>50</v>
      </c>
    </row>
    <row r="21" spans="2:11" ht="24" customHeight="1">
      <c r="B21" s="3">
        <f>IFERROR((Inventory_List_Table3[[#This Row],[Quantidade]]&lt;=Inventory_List_Table3[[#This Row],[Coluna3]])*(Inventory_List_Table3[[#This Row],[Tem Estoque?]]="")*RealceValor,0)</f>
        <v>0</v>
      </c>
      <c r="H21" s="8">
        <v>98</v>
      </c>
      <c r="J21" s="8">
        <v>50</v>
      </c>
      <c r="K21" s="6" t="s">
        <v>3</v>
      </c>
    </row>
    <row r="22" spans="2:11" ht="24" customHeight="1">
      <c r="B22" s="3">
        <f>IFERROR((Inventory_List_Table3[[#This Row],[Quantidade]]&lt;=Inventory_List_Table3[[#This Row],[Coluna3]])*(Inventory_List_Table3[[#This Row],[Tem Estoque?]]="")*RealceValor,0)</f>
        <v>1</v>
      </c>
      <c r="H22" s="8">
        <v>7</v>
      </c>
      <c r="J22" s="8">
        <v>50</v>
      </c>
    </row>
    <row r="23" spans="2:11" ht="24" customHeight="1">
      <c r="B23" s="3">
        <f>IFERROR((Inventory_List_Table3[[#This Row],[Quantidade]]&lt;=Inventory_List_Table3[[#This Row],[Coluna3]])*(Inventory_List_Table3[[#This Row],[Tem Estoque?]]="")*RealceValor,0)</f>
        <v>1</v>
      </c>
      <c r="H23" s="8">
        <v>164</v>
      </c>
      <c r="J23" s="8">
        <v>150</v>
      </c>
    </row>
    <row r="24" spans="2:11" ht="24" customHeight="1">
      <c r="B24" s="3">
        <f>IFERROR((Inventory_List_Table3[[#This Row],[Quantidade]]&lt;=Inventory_List_Table3[[#This Row],[Coluna3]])*(Inventory_List_Table3[[#This Row],[Tem Estoque?]]="")*RealceValor,0)</f>
        <v>1</v>
      </c>
      <c r="H24" s="8">
        <v>113</v>
      </c>
      <c r="J24" s="8">
        <v>50</v>
      </c>
    </row>
    <row r="25" spans="2:11" ht="24" customHeight="1">
      <c r="B25" s="3">
        <f>IFERROR((Inventory_List_Table3[[#This Row],[Quantidade]]&lt;=Inventory_List_Table3[[#This Row],[Coluna3]])*(Inventory_List_Table3[[#This Row],[Tem Estoque?]]="")*RealceValor,0)</f>
        <v>1</v>
      </c>
      <c r="H25" s="8">
        <v>75</v>
      </c>
      <c r="J25" s="8">
        <v>50</v>
      </c>
    </row>
    <row r="26" spans="2:11" ht="24" customHeight="1">
      <c r="B26" s="3">
        <f>IFERROR((Inventory_List_Table3[[#This Row],[Quantidade]]&lt;=Inventory_List_Table3[[#This Row],[Coluna3]])*(Inventory_List_Table3[[#This Row],[Tem Estoque?]]="")*RealceValor,0)</f>
        <v>1</v>
      </c>
      <c r="H26" s="8">
        <v>132</v>
      </c>
      <c r="J26" s="8">
        <v>150</v>
      </c>
    </row>
    <row r="27" spans="2:11" ht="24" customHeight="1">
      <c r="B27" s="3">
        <f>IFERROR((Inventory_List_Table3[[#This Row],[Quantidade]]&lt;=Inventory_List_Table3[[#This Row],[Coluna3]])*(Inventory_List_Table3[[#This Row],[Tem Estoque?]]="")*RealceValor,0)</f>
        <v>0</v>
      </c>
      <c r="H27" s="8">
        <v>142</v>
      </c>
      <c r="J27" s="8">
        <v>150</v>
      </c>
      <c r="K27" s="6" t="s">
        <v>3</v>
      </c>
    </row>
    <row r="28" spans="2:11" ht="24" customHeight="1">
      <c r="B28" s="3">
        <f>IFERROR((Inventory_List_Table3[[#This Row],[Quantidade]]&lt;=Inventory_List_Table3[[#This Row],[Coluna3]])*(Inventory_List_Table3[[#This Row],[Tem Estoque?]]="")*RealceValor,0)</f>
        <v>1</v>
      </c>
      <c r="H28" s="8">
        <v>127</v>
      </c>
      <c r="J28" s="8">
        <v>100</v>
      </c>
    </row>
    <row r="29" spans="2:11" ht="24" customHeight="1">
      <c r="B29" s="3">
        <f>IFERROR((Inventory_List_Table3[[#This Row],[Quantidade]]&lt;=Inventory_List_Table3[[#This Row],[Coluna3]])*(Inventory_List_Table3[[#This Row],[Tem Estoque?]]="")*RealceValor,0)</f>
        <v>1</v>
      </c>
      <c r="H29" s="8">
        <v>21</v>
      </c>
      <c r="J29" s="8">
        <v>50</v>
      </c>
    </row>
  </sheetData>
  <mergeCells count="1">
    <mergeCell ref="E2:H2"/>
  </mergeCells>
  <phoneticPr fontId="23" type="noConversion"/>
  <conditionalFormatting sqref="B5:K29">
    <cfRule type="expression" dxfId="23" priority="2">
      <formula>$K5="Sim"</formula>
    </cfRule>
    <cfRule type="expression" dxfId="22" priority="3">
      <formula>$B5=1</formula>
    </cfRule>
  </conditionalFormatting>
  <dataValidations count="12">
    <dataValidation type="list" allowBlank="1" showInputMessage="1" showErrorMessage="1" sqref="K5" xr:uid="{69D1FCD9-895B-4A2D-B890-068DA8B65165}">
      <formula1>"Não"</formula1>
    </dataValidation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D3110352-B6FB-4DDD-AE51-0E60FB19CFB4}"/>
    <dataValidation type="list" allowBlank="1" showInputMessage="1" showErrorMessage="1" prompt="Selecione Sim para habilitar o realce de itens para ordenar. Isso aplica uma sinalização na coluna B e realça a linha correspondente na tabela Lista de estoque. Selecionar Não apagará os destaques e a sinalização." sqref="K3" xr:uid="{33F57C3D-CB5A-4933-B57A-15C3E8565D74}">
      <formula1>"Sim, Não"</formula1>
    </dataValidation>
    <dataValidation type="list" allowBlank="1" showInputMessage="1" showErrorMessage="1" sqref="K6:K29" xr:uid="{C5CA0C65-2B2F-4782-A6BC-F96E71D9C69D}">
      <formula1>"Sim"</formula1>
    </dataValidation>
    <dataValidation allowBlank="1" showInputMessage="1" showErrorMessage="1" prompt="Insira uma descrição do item nesta coluna" sqref="F4" xr:uid="{5B22640E-FBA8-42E4-AFCB-0CA4D703826A}"/>
    <dataValidation allowBlank="1" showInputMessage="1" showErrorMessage="1" prompt="Insira a quantidade em estoque de cada item nesta coluna" sqref="G4" xr:uid="{5AADED85-18A4-4601-9F45-CB48948CC439}"/>
    <dataValidation allowBlank="1" showInputMessage="1" showErrorMessage="1" prompt="Insira quantos dias faltam para realizar nova encomenda de cada item nesta coluna" sqref="I4" xr:uid="{B8DDB12D-7CB3-43B3-BEC0-D14629ACFBCD}"/>
    <dataValidation allowBlank="1" showInputMessage="1" showErrorMessage="1" prompt="Insira a quantidade a encomendar de cada item nesta coluna" sqref="J4" xr:uid="{996DEA77-324D-4F36-87F1-4F6D0F3EB746}"/>
    <dataValidation allowBlank="1" showInputMessage="1" showErrorMessage="1" prompt="Insira sim se o item tiver sido descontinuado. Ao inserir Sim, a linha correspondente é realçada em cinza claro e o estilo da fonte é alterado para Tachado" sqref="K4" xr:uid="{A276D4E2-60C8-4EAE-A4C4-E0C019C62351}"/>
    <dataValidation allowBlank="1" showInputMessage="1" showErrorMessage="1" prompt="Insira a ID de estoque do item nesta coluna" sqref="E4" xr:uid="{C40836F5-0484-4516-B656-D824351A2860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5A0CB69E-40F5-4FD1-8B6E-B9295CF907E0}"/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0480829D-2360-499B-A6C6-A2529F4A2E19}"/>
  </dataValidations>
  <pageMargins left="0.25" right="0.25" top="0.75" bottom="0.75" header="0.3" footer="0.3"/>
  <pageSetup paperSize="9" scale="56" fitToHeight="0" orientation="portrait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2F27575-362A-464B-B197-C0F2E64E025E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4294D302FED478A6AB77DC9BB513D" ma:contentTypeVersion="18" ma:contentTypeDescription="Create a new document." ma:contentTypeScope="" ma:versionID="4cb5be103b09c7e9cc43fc757d81dbe0">
  <xsd:schema xmlns:xsd="http://www.w3.org/2001/XMLSchema" xmlns:xs="http://www.w3.org/2001/XMLSchema" xmlns:p="http://schemas.microsoft.com/office/2006/metadata/properties" xmlns:ns2="c48616d3-a2e5-4795-9b88-06aaa32f96ac" xmlns:ns3="15962f1e-f8b5-4042-9c7d-5468d4101594" targetNamespace="http://schemas.microsoft.com/office/2006/metadata/properties" ma:root="true" ma:fieldsID="18f1e82b9c6e89527ddd070234f772bd" ns2:_="" ns3:_="">
    <xsd:import namespace="c48616d3-a2e5-4795-9b88-06aaa32f96ac"/>
    <xsd:import namespace="15962f1e-f8b5-4042-9c7d-5468d41015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8616d3-a2e5-4795-9b88-06aaa32f96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65eb1af-e7dc-4e37-85a6-d2733eb990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62f1e-f8b5-4042-9c7d-5468d410159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3fd136c-def6-4806-8457-0f9be74161a6}" ma:internalName="TaxCatchAll" ma:showField="CatchAllData" ma:web="15962f1e-f8b5-4042-9c7d-5468d41015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8616d3-a2e5-4795-9b88-06aaa32f96ac">
      <Terms xmlns="http://schemas.microsoft.com/office/infopath/2007/PartnerControls"/>
    </lcf76f155ced4ddcb4097134ff3c332f>
    <TaxCatchAll xmlns="15962f1e-f8b5-4042-9c7d-5468d4101594" xsi:nil="true"/>
    <_Flow_SignoffStatus xmlns="c48616d3-a2e5-4795-9b88-06aaa32f96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406356-BF22-415D-A02D-5FA3C9B2F864}"/>
</file>

<file path=customXml/itemProps2.xml><?xml version="1.0" encoding="utf-8"?>
<ds:datastoreItem xmlns:ds="http://schemas.openxmlformats.org/officeDocument/2006/customXml" ds:itemID="{81F3298A-223B-42B2-9FEF-AB506EA6B5F6}"/>
</file>

<file path=customXml/itemProps3.xml><?xml version="1.0" encoding="utf-8"?>
<ds:datastoreItem xmlns:ds="http://schemas.openxmlformats.org/officeDocument/2006/customXml" ds:itemID="{DE17AD16-C3BD-472A-B362-8A85F95573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Santos, João Luiz de Medeiros dos</cp:lastModifiedBy>
  <cp:revision/>
  <dcterms:created xsi:type="dcterms:W3CDTF">2018-08-16T20:38:17Z</dcterms:created>
  <dcterms:modified xsi:type="dcterms:W3CDTF">2026-03-02T16:41:09Z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0x010100A0C4294D302FED478A6AB77DC9BB513D</vt:lpwstr>
  </property>
  <property fmtid="{D5CDD505-2E9C-101B-9397-08002B2CF9AE}" pid="3" name="MediaServiceImageTags">
    <vt:lpwstr/>
  </property>
</Properties>
</file>