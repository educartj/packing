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441FBDA-8202-4E0D-A1C5-34FD6B7AEF1C}" xr6:coauthVersionLast="47" xr6:coauthVersionMax="47" xr10:uidLastSave="{00000000-0000-0000-0000-000000000000}"/>
  <bookViews>
    <workbookView xWindow="-45" yWindow="465" windowWidth="24615" windowHeight="15135" xr2:uid="{00000000-000D-0000-FFFF-FFFF00000000}"/>
  </bookViews>
  <sheets>
    <sheet name="Cronograma_B20-24" sheetId="1" r:id="rId1"/>
  </sheets>
  <definedNames>
    <definedName name="_xlnm._FilterDatabase" localSheetId="0" hidden="1">'Cronograma_B20-24'!$A$1:$I$1705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F57" i="1" l="1"/>
  <c r="G57" i="1" s="1"/>
  <c r="F56" i="1"/>
  <c r="G56" i="1" s="1"/>
  <c r="F55" i="1"/>
  <c r="G55" i="1" s="1"/>
  <c r="F8" i="1"/>
  <c r="G8" i="1" s="1"/>
  <c r="F9" i="1" s="1"/>
  <c r="F5" i="1"/>
  <c r="G5" i="1" s="1"/>
  <c r="F6" i="1"/>
  <c r="G6" i="1" s="1"/>
  <c r="F12" i="1" s="1"/>
  <c r="G12" i="1" s="1"/>
  <c r="F17" i="1" s="1"/>
  <c r="F7" i="1"/>
  <c r="G7" i="1" s="1"/>
  <c r="F59" i="1" l="1"/>
  <c r="G59" i="1" s="1"/>
  <c r="F65" i="1" s="1"/>
  <c r="G65" i="1" s="1"/>
  <c r="F110" i="1"/>
  <c r="G110" i="1" s="1"/>
  <c r="F109" i="1"/>
  <c r="G109" i="1" s="1"/>
  <c r="F163" i="1" s="1"/>
  <c r="G163" i="1" s="1"/>
  <c r="F108" i="1"/>
  <c r="G108" i="1" s="1"/>
  <c r="F58" i="1"/>
  <c r="G58" i="1" s="1"/>
  <c r="F60" i="1"/>
  <c r="G60" i="1" s="1"/>
  <c r="F61" i="1"/>
  <c r="G61" i="1" s="1"/>
  <c r="F62" i="1" s="1"/>
  <c r="G9" i="1"/>
  <c r="F11" i="1" s="1"/>
  <c r="G11" i="1" s="1"/>
  <c r="F10" i="1"/>
  <c r="G10" i="1" s="1"/>
  <c r="F14" i="1"/>
  <c r="G14" i="1" s="1"/>
  <c r="F15" i="1"/>
  <c r="G15" i="1" s="1"/>
  <c r="F13" i="1"/>
  <c r="G13" i="1" s="1"/>
  <c r="F16" i="1"/>
  <c r="G16" i="1" s="1"/>
  <c r="G17" i="1"/>
  <c r="F164" i="1" l="1"/>
  <c r="G164" i="1" s="1"/>
  <c r="F162" i="1"/>
  <c r="G162" i="1" s="1"/>
  <c r="F161" i="1"/>
  <c r="G161" i="1" s="1"/>
  <c r="F63" i="1"/>
  <c r="G63" i="1" s="1"/>
  <c r="G62" i="1"/>
  <c r="F64" i="1" s="1"/>
  <c r="G64" i="1" s="1"/>
  <c r="F114" i="1"/>
  <c r="G114" i="1" s="1"/>
  <c r="F115" i="1" s="1"/>
  <c r="F111" i="1"/>
  <c r="G111" i="1" s="1"/>
  <c r="F112" i="1"/>
  <c r="G112" i="1" s="1"/>
  <c r="F118" i="1" s="1"/>
  <c r="G118" i="1" s="1"/>
  <c r="F113" i="1"/>
  <c r="G113" i="1" s="1"/>
  <c r="F67" i="1"/>
  <c r="G67" i="1" s="1"/>
  <c r="F70" i="1"/>
  <c r="G70" i="1" s="1"/>
  <c r="F66" i="1"/>
  <c r="G66" i="1" s="1"/>
  <c r="F69" i="1"/>
  <c r="G69" i="1" s="1"/>
  <c r="F68" i="1"/>
  <c r="G68" i="1" s="1"/>
  <c r="F19" i="1"/>
  <c r="F18" i="1"/>
  <c r="G18" i="1" s="1"/>
  <c r="F216" i="1" l="1"/>
  <c r="G216" i="1" s="1"/>
  <c r="F217" i="1"/>
  <c r="G217" i="1" s="1"/>
  <c r="F215" i="1"/>
  <c r="G215" i="1" s="1"/>
  <c r="F166" i="1"/>
  <c r="G166" i="1" s="1"/>
  <c r="F172" i="1" s="1"/>
  <c r="G172" i="1" s="1"/>
  <c r="F165" i="1"/>
  <c r="G165" i="1" s="1"/>
  <c r="F168" i="1"/>
  <c r="G168" i="1" s="1"/>
  <c r="F169" i="1" s="1"/>
  <c r="F167" i="1"/>
  <c r="G167" i="1" s="1"/>
  <c r="F71" i="1"/>
  <c r="G71" i="1" s="1"/>
  <c r="F72" i="1"/>
  <c r="G72" i="1" s="1"/>
  <c r="F122" i="1"/>
  <c r="G122" i="1" s="1"/>
  <c r="F120" i="1"/>
  <c r="G120" i="1" s="1"/>
  <c r="F119" i="1"/>
  <c r="G119" i="1" s="1"/>
  <c r="F123" i="1"/>
  <c r="G123" i="1" s="1"/>
  <c r="F121" i="1"/>
  <c r="G121" i="1" s="1"/>
  <c r="F116" i="1"/>
  <c r="G116" i="1" s="1"/>
  <c r="G115" i="1"/>
  <c r="F117" i="1" s="1"/>
  <c r="G117" i="1" s="1"/>
  <c r="F21" i="1"/>
  <c r="F20" i="1"/>
  <c r="G20" i="1" s="1"/>
  <c r="G19" i="1"/>
  <c r="G21" i="1"/>
  <c r="F269" i="1" l="1"/>
  <c r="G269" i="1" s="1"/>
  <c r="F270" i="1"/>
  <c r="G270" i="1" s="1"/>
  <c r="F218" i="1"/>
  <c r="G218" i="1" s="1"/>
  <c r="F219" i="1"/>
  <c r="G219" i="1" s="1"/>
  <c r="F225" i="1" s="1"/>
  <c r="G225" i="1" s="1"/>
  <c r="F220" i="1"/>
  <c r="G220" i="1" s="1"/>
  <c r="F221" i="1"/>
  <c r="G221" i="1" s="1"/>
  <c r="F222" i="1" s="1"/>
  <c r="F268" i="1"/>
  <c r="G268" i="1" s="1"/>
  <c r="F170" i="1"/>
  <c r="G170" i="1" s="1"/>
  <c r="G169" i="1"/>
  <c r="F171" i="1" s="1"/>
  <c r="G171" i="1" s="1"/>
  <c r="F176" i="1"/>
  <c r="G176" i="1" s="1"/>
  <c r="F173" i="1"/>
  <c r="G173" i="1" s="1"/>
  <c r="F175" i="1"/>
  <c r="G175" i="1" s="1"/>
  <c r="F174" i="1"/>
  <c r="G174" i="1" s="1"/>
  <c r="F177" i="1"/>
  <c r="G177" i="1" s="1"/>
  <c r="F125" i="1"/>
  <c r="G125" i="1" s="1"/>
  <c r="F124" i="1"/>
  <c r="G124" i="1" s="1"/>
  <c r="F73" i="1"/>
  <c r="G73" i="1" s="1"/>
  <c r="F74" i="1"/>
  <c r="G74" i="1" s="1"/>
  <c r="F23" i="1"/>
  <c r="F22" i="1"/>
  <c r="G22" i="1" s="1"/>
  <c r="F24" i="1" s="1"/>
  <c r="F25" i="1" s="1"/>
  <c r="G23" i="1"/>
  <c r="F223" i="1" l="1"/>
  <c r="G223" i="1" s="1"/>
  <c r="G222" i="1"/>
  <c r="F224" i="1" s="1"/>
  <c r="G224" i="1" s="1"/>
  <c r="F227" i="1"/>
  <c r="G227" i="1" s="1"/>
  <c r="F229" i="1"/>
  <c r="G229" i="1" s="1"/>
  <c r="F230" i="1"/>
  <c r="G230" i="1" s="1"/>
  <c r="F228" i="1"/>
  <c r="G228" i="1" s="1"/>
  <c r="F226" i="1"/>
  <c r="G226" i="1" s="1"/>
  <c r="F322" i="1"/>
  <c r="G322" i="1" s="1"/>
  <c r="F376" i="1" s="1"/>
  <c r="G376" i="1" s="1"/>
  <c r="F271" i="1"/>
  <c r="G271" i="1" s="1"/>
  <c r="F274" i="1"/>
  <c r="G274" i="1" s="1"/>
  <c r="F275" i="1" s="1"/>
  <c r="F321" i="1"/>
  <c r="G321" i="1" s="1"/>
  <c r="F273" i="1"/>
  <c r="G273" i="1" s="1"/>
  <c r="F272" i="1"/>
  <c r="G272" i="1" s="1"/>
  <c r="F278" i="1" s="1"/>
  <c r="G278" i="1" s="1"/>
  <c r="F323" i="1"/>
  <c r="G323" i="1" s="1"/>
  <c r="F178" i="1"/>
  <c r="G178" i="1" s="1"/>
  <c r="F179" i="1"/>
  <c r="G179" i="1" s="1"/>
  <c r="F76" i="1"/>
  <c r="G76" i="1" s="1"/>
  <c r="F75" i="1"/>
  <c r="G75" i="1" s="1"/>
  <c r="F77" i="1" s="1"/>
  <c r="F127" i="1"/>
  <c r="G127" i="1" s="1"/>
  <c r="F126" i="1"/>
  <c r="G126" i="1" s="1"/>
  <c r="G25" i="1"/>
  <c r="G24" i="1"/>
  <c r="F26" i="1" s="1"/>
  <c r="F232" i="1" l="1"/>
  <c r="G232" i="1" s="1"/>
  <c r="F231" i="1"/>
  <c r="G231" i="1" s="1"/>
  <c r="F276" i="1"/>
  <c r="G276" i="1" s="1"/>
  <c r="G275" i="1"/>
  <c r="F277" i="1" s="1"/>
  <c r="G277" i="1" s="1"/>
  <c r="F324" i="1"/>
  <c r="G324" i="1" s="1"/>
  <c r="F326" i="1"/>
  <c r="G326" i="1" s="1"/>
  <c r="F375" i="1"/>
  <c r="G375" i="1" s="1"/>
  <c r="F374" i="1"/>
  <c r="G374" i="1" s="1"/>
  <c r="F327" i="1"/>
  <c r="G327" i="1" s="1"/>
  <c r="F328" i="1" s="1"/>
  <c r="F325" i="1"/>
  <c r="G325" i="1" s="1"/>
  <c r="F331" i="1" s="1"/>
  <c r="G331" i="1" s="1"/>
  <c r="F377" i="1"/>
  <c r="G377" i="1" s="1"/>
  <c r="F283" i="1"/>
  <c r="G283" i="1" s="1"/>
  <c r="F282" i="1"/>
  <c r="G282" i="1" s="1"/>
  <c r="F281" i="1"/>
  <c r="G281" i="1" s="1"/>
  <c r="F279" i="1"/>
  <c r="G279" i="1" s="1"/>
  <c r="F280" i="1"/>
  <c r="G280" i="1" s="1"/>
  <c r="F180" i="1"/>
  <c r="G180" i="1" s="1"/>
  <c r="F181" i="1"/>
  <c r="G181" i="1" s="1"/>
  <c r="F128" i="1"/>
  <c r="G128" i="1" s="1"/>
  <c r="F130" i="1" s="1"/>
  <c r="F129" i="1"/>
  <c r="G129" i="1" s="1"/>
  <c r="G77" i="1"/>
  <c r="F79" i="1" s="1"/>
  <c r="G79" i="1" s="1"/>
  <c r="F78" i="1"/>
  <c r="G78" i="1" s="1"/>
  <c r="G26" i="1"/>
  <c r="F430" i="1" l="1"/>
  <c r="G430" i="1" s="1"/>
  <c r="F429" i="1"/>
  <c r="G429" i="1" s="1"/>
  <c r="F428" i="1"/>
  <c r="G428" i="1" s="1"/>
  <c r="F380" i="1"/>
  <c r="G380" i="1" s="1"/>
  <c r="F378" i="1"/>
  <c r="G378" i="1" s="1"/>
  <c r="F379" i="1"/>
  <c r="G379" i="1" s="1"/>
  <c r="F385" i="1" s="1"/>
  <c r="G385" i="1" s="1"/>
  <c r="F381" i="1"/>
  <c r="G381" i="1" s="1"/>
  <c r="F382" i="1" s="1"/>
  <c r="F334" i="1"/>
  <c r="G334" i="1" s="1"/>
  <c r="F335" i="1"/>
  <c r="G335" i="1" s="1"/>
  <c r="F333" i="1"/>
  <c r="G333" i="1" s="1"/>
  <c r="F336" i="1"/>
  <c r="G336" i="1" s="1"/>
  <c r="F332" i="1"/>
  <c r="G332" i="1" s="1"/>
  <c r="G328" i="1"/>
  <c r="F330" i="1" s="1"/>
  <c r="G330" i="1" s="1"/>
  <c r="F329" i="1"/>
  <c r="G329" i="1" s="1"/>
  <c r="F285" i="1"/>
  <c r="G285" i="1" s="1"/>
  <c r="F284" i="1"/>
  <c r="G284" i="1" s="1"/>
  <c r="F234" i="1"/>
  <c r="G234" i="1" s="1"/>
  <c r="F233" i="1"/>
  <c r="G233" i="1" s="1"/>
  <c r="F182" i="1"/>
  <c r="G182" i="1" s="1"/>
  <c r="F184" i="1" s="1"/>
  <c r="F183" i="1"/>
  <c r="G183" i="1" s="1"/>
  <c r="F30" i="1"/>
  <c r="F29" i="1"/>
  <c r="G30" i="1" s="1"/>
  <c r="F28" i="1"/>
  <c r="G29" i="1" s="1"/>
  <c r="F27" i="1"/>
  <c r="F86" i="1"/>
  <c r="G86" i="1" s="1"/>
  <c r="F80" i="1"/>
  <c r="F83" i="1"/>
  <c r="F82" i="1"/>
  <c r="G83" i="1" s="1"/>
  <c r="F87" i="1"/>
  <c r="G87" i="1" s="1"/>
  <c r="F88" i="1" s="1"/>
  <c r="G88" i="1" s="1"/>
  <c r="F81" i="1"/>
  <c r="G82" i="1" s="1"/>
  <c r="F85" i="1"/>
  <c r="G85" i="1" s="1"/>
  <c r="F84" i="1"/>
  <c r="G84" i="1" s="1"/>
  <c r="F131" i="1"/>
  <c r="G131" i="1" s="1"/>
  <c r="G130" i="1"/>
  <c r="F132" i="1" s="1"/>
  <c r="G132" i="1" s="1"/>
  <c r="F32" i="1"/>
  <c r="G32" i="1" s="1"/>
  <c r="F31" i="1"/>
  <c r="G31" i="1" s="1"/>
  <c r="F33" i="1"/>
  <c r="G33" i="1" s="1"/>
  <c r="F34" i="1"/>
  <c r="G34" i="1" s="1"/>
  <c r="F35" i="1" s="1"/>
  <c r="G35" i="1" s="1"/>
  <c r="F235" i="1" l="1"/>
  <c r="G235" i="1" s="1"/>
  <c r="F237" i="1" s="1"/>
  <c r="F236" i="1"/>
  <c r="G236" i="1" s="1"/>
  <c r="F286" i="1"/>
  <c r="G286" i="1" s="1"/>
  <c r="F287" i="1"/>
  <c r="G287" i="1" s="1"/>
  <c r="F337" i="1"/>
  <c r="G337" i="1" s="1"/>
  <c r="F338" i="1"/>
  <c r="G338" i="1" s="1"/>
  <c r="G382" i="1"/>
  <c r="F384" i="1" s="1"/>
  <c r="G384" i="1" s="1"/>
  <c r="F383" i="1"/>
  <c r="G383" i="1" s="1"/>
  <c r="F389" i="1"/>
  <c r="G389" i="1" s="1"/>
  <c r="F387" i="1"/>
  <c r="G387" i="1" s="1"/>
  <c r="F390" i="1"/>
  <c r="G390" i="1" s="1"/>
  <c r="F388" i="1"/>
  <c r="G388" i="1" s="1"/>
  <c r="F386" i="1"/>
  <c r="G386" i="1" s="1"/>
  <c r="F434" i="1"/>
  <c r="G434" i="1" s="1"/>
  <c r="F435" i="1" s="1"/>
  <c r="F483" i="1"/>
  <c r="G483" i="1" s="1"/>
  <c r="F482" i="1"/>
  <c r="G482" i="1" s="1"/>
  <c r="F481" i="1"/>
  <c r="G481" i="1" s="1"/>
  <c r="F433" i="1"/>
  <c r="G433" i="1" s="1"/>
  <c r="F432" i="1"/>
  <c r="G432" i="1" s="1"/>
  <c r="F438" i="1" s="1"/>
  <c r="G438" i="1" s="1"/>
  <c r="F431" i="1"/>
  <c r="G431" i="1" s="1"/>
  <c r="G184" i="1"/>
  <c r="F186" i="1" s="1"/>
  <c r="G186" i="1" s="1"/>
  <c r="F185" i="1"/>
  <c r="G185" i="1" s="1"/>
  <c r="F90" i="1"/>
  <c r="G90" i="1" s="1"/>
  <c r="F89" i="1"/>
  <c r="G80" i="1"/>
  <c r="G81" i="1"/>
  <c r="G27" i="1"/>
  <c r="G28" i="1"/>
  <c r="F37" i="1"/>
  <c r="G37" i="1" s="1"/>
  <c r="F36" i="1"/>
  <c r="F38" i="1" s="1"/>
  <c r="F140" i="1"/>
  <c r="G140" i="1" s="1"/>
  <c r="F141" i="1" s="1"/>
  <c r="G141" i="1" s="1"/>
  <c r="F134" i="1"/>
  <c r="G135" i="1" s="1"/>
  <c r="F138" i="1"/>
  <c r="G138" i="1" s="1"/>
  <c r="F137" i="1"/>
  <c r="G137" i="1" s="1"/>
  <c r="F136" i="1"/>
  <c r="F135" i="1"/>
  <c r="G136" i="1" s="1"/>
  <c r="F139" i="1"/>
  <c r="G139" i="1" s="1"/>
  <c r="F133" i="1"/>
  <c r="F392" i="1" l="1"/>
  <c r="G392" i="1" s="1"/>
  <c r="F391" i="1"/>
  <c r="G391" i="1" s="1"/>
  <c r="F441" i="1"/>
  <c r="G441" i="1" s="1"/>
  <c r="F440" i="1"/>
  <c r="G440" i="1" s="1"/>
  <c r="F442" i="1"/>
  <c r="G442" i="1" s="1"/>
  <c r="F439" i="1"/>
  <c r="G439" i="1" s="1"/>
  <c r="F443" i="1"/>
  <c r="G443" i="1" s="1"/>
  <c r="F339" i="1"/>
  <c r="G339" i="1" s="1"/>
  <c r="F340" i="1"/>
  <c r="G340" i="1" s="1"/>
  <c r="F289" i="1"/>
  <c r="G289" i="1" s="1"/>
  <c r="F288" i="1"/>
  <c r="G288" i="1" s="1"/>
  <c r="F290" i="1" s="1"/>
  <c r="F535" i="1"/>
  <c r="G535" i="1" s="1"/>
  <c r="F589" i="1" s="1"/>
  <c r="G589" i="1" s="1"/>
  <c r="F534" i="1"/>
  <c r="G534" i="1" s="1"/>
  <c r="F484" i="1"/>
  <c r="G484" i="1" s="1"/>
  <c r="F536" i="1"/>
  <c r="G536" i="1" s="1"/>
  <c r="F486" i="1"/>
  <c r="G486" i="1" s="1"/>
  <c r="F487" i="1"/>
  <c r="G487" i="1" s="1"/>
  <c r="F488" i="1" s="1"/>
  <c r="F485" i="1"/>
  <c r="G485" i="1" s="1"/>
  <c r="F491" i="1" s="1"/>
  <c r="G491" i="1" s="1"/>
  <c r="F436" i="1"/>
  <c r="G436" i="1" s="1"/>
  <c r="G435" i="1"/>
  <c r="F437" i="1" s="1"/>
  <c r="G437" i="1" s="1"/>
  <c r="F238" i="1"/>
  <c r="G238" i="1" s="1"/>
  <c r="G237" i="1"/>
  <c r="F239" i="1" s="1"/>
  <c r="G239" i="1" s="1"/>
  <c r="F190" i="1"/>
  <c r="F194" i="1"/>
  <c r="G194" i="1" s="1"/>
  <c r="F195" i="1" s="1"/>
  <c r="G195" i="1" s="1"/>
  <c r="F191" i="1"/>
  <c r="G191" i="1" s="1"/>
  <c r="F193" i="1"/>
  <c r="G193" i="1" s="1"/>
  <c r="F188" i="1"/>
  <c r="G189" i="1" s="1"/>
  <c r="F187" i="1"/>
  <c r="F192" i="1"/>
  <c r="G192" i="1" s="1"/>
  <c r="F189" i="1"/>
  <c r="G190" i="1" s="1"/>
  <c r="F143" i="1"/>
  <c r="G143" i="1" s="1"/>
  <c r="F142" i="1"/>
  <c r="F42" i="1"/>
  <c r="G42" i="1" s="1"/>
  <c r="F41" i="1"/>
  <c r="G41" i="1" s="1"/>
  <c r="F40" i="1"/>
  <c r="G40" i="1" s="1"/>
  <c r="F39" i="1"/>
  <c r="G39" i="1" s="1"/>
  <c r="G134" i="1"/>
  <c r="G133" i="1"/>
  <c r="F91" i="1"/>
  <c r="G89" i="1"/>
  <c r="G36" i="1"/>
  <c r="G38" i="1"/>
  <c r="F43" i="1"/>
  <c r="F240" i="1" l="1"/>
  <c r="F245" i="1"/>
  <c r="G245" i="1" s="1"/>
  <c r="F243" i="1"/>
  <c r="F242" i="1"/>
  <c r="G243" i="1" s="1"/>
  <c r="F244" i="1"/>
  <c r="G244" i="1" s="1"/>
  <c r="F247" i="1"/>
  <c r="G247" i="1" s="1"/>
  <c r="F248" i="1" s="1"/>
  <c r="G248" i="1" s="1"/>
  <c r="F246" i="1"/>
  <c r="G246" i="1" s="1"/>
  <c r="F241" i="1"/>
  <c r="G242" i="1" s="1"/>
  <c r="F341" i="1"/>
  <c r="G341" i="1" s="1"/>
  <c r="F343" i="1" s="1"/>
  <c r="F342" i="1"/>
  <c r="G342" i="1" s="1"/>
  <c r="F492" i="1"/>
  <c r="G492" i="1" s="1"/>
  <c r="F494" i="1"/>
  <c r="G494" i="1" s="1"/>
  <c r="F495" i="1"/>
  <c r="G495" i="1" s="1"/>
  <c r="F493" i="1"/>
  <c r="G493" i="1" s="1"/>
  <c r="F496" i="1"/>
  <c r="G496" i="1" s="1"/>
  <c r="G488" i="1"/>
  <c r="F490" i="1" s="1"/>
  <c r="G490" i="1" s="1"/>
  <c r="F489" i="1"/>
  <c r="G489" i="1" s="1"/>
  <c r="F444" i="1"/>
  <c r="G444" i="1" s="1"/>
  <c r="F445" i="1"/>
  <c r="G445" i="1" s="1"/>
  <c r="F587" i="1"/>
  <c r="G587" i="1" s="1"/>
  <c r="F537" i="1"/>
  <c r="G537" i="1" s="1"/>
  <c r="F588" i="1"/>
  <c r="G588" i="1" s="1"/>
  <c r="F538" i="1"/>
  <c r="G538" i="1" s="1"/>
  <c r="F544" i="1" s="1"/>
  <c r="G544" i="1" s="1"/>
  <c r="F590" i="1"/>
  <c r="G590" i="1" s="1"/>
  <c r="F540" i="1"/>
  <c r="G540" i="1" s="1"/>
  <c r="F541" i="1" s="1"/>
  <c r="F539" i="1"/>
  <c r="G539" i="1" s="1"/>
  <c r="G290" i="1"/>
  <c r="F292" i="1" s="1"/>
  <c r="G292" i="1" s="1"/>
  <c r="F291" i="1"/>
  <c r="G291" i="1" s="1"/>
  <c r="F393" i="1"/>
  <c r="G393" i="1" s="1"/>
  <c r="F394" i="1"/>
  <c r="G394" i="1" s="1"/>
  <c r="F196" i="1"/>
  <c r="F197" i="1"/>
  <c r="G197" i="1" s="1"/>
  <c r="G187" i="1"/>
  <c r="G188" i="1"/>
  <c r="F95" i="1"/>
  <c r="G95" i="1" s="1"/>
  <c r="F94" i="1"/>
  <c r="G94" i="1" s="1"/>
  <c r="F93" i="1"/>
  <c r="G93" i="1" s="1"/>
  <c r="F96" i="1"/>
  <c r="F92" i="1"/>
  <c r="G92" i="1" s="1"/>
  <c r="G91" i="1"/>
  <c r="F144" i="1"/>
  <c r="G142" i="1"/>
  <c r="F44" i="1"/>
  <c r="G43" i="1"/>
  <c r="G343" i="1" l="1"/>
  <c r="F345" i="1" s="1"/>
  <c r="G345" i="1" s="1"/>
  <c r="F344" i="1"/>
  <c r="G344" i="1" s="1"/>
  <c r="F643" i="1"/>
  <c r="G643" i="1" s="1"/>
  <c r="F642" i="1"/>
  <c r="G642" i="1" s="1"/>
  <c r="F641" i="1"/>
  <c r="G641" i="1" s="1"/>
  <c r="F592" i="1"/>
  <c r="G592" i="1" s="1"/>
  <c r="F598" i="1" s="1"/>
  <c r="G598" i="1" s="1"/>
  <c r="F594" i="1"/>
  <c r="G594" i="1" s="1"/>
  <c r="F595" i="1" s="1"/>
  <c r="F591" i="1"/>
  <c r="G591" i="1" s="1"/>
  <c r="F593" i="1"/>
  <c r="G593" i="1" s="1"/>
  <c r="F447" i="1"/>
  <c r="G447" i="1" s="1"/>
  <c r="F446" i="1"/>
  <c r="G446" i="1" s="1"/>
  <c r="F293" i="1"/>
  <c r="F295" i="1"/>
  <c r="G296" i="1" s="1"/>
  <c r="F298" i="1"/>
  <c r="G298" i="1" s="1"/>
  <c r="F300" i="1"/>
  <c r="G300" i="1" s="1"/>
  <c r="F301" i="1" s="1"/>
  <c r="G301" i="1" s="1"/>
  <c r="F299" i="1"/>
  <c r="G299" i="1" s="1"/>
  <c r="F297" i="1"/>
  <c r="G297" i="1" s="1"/>
  <c r="F296" i="1"/>
  <c r="F294" i="1"/>
  <c r="G295" i="1" s="1"/>
  <c r="F497" i="1"/>
  <c r="G497" i="1" s="1"/>
  <c r="F498" i="1"/>
  <c r="G498" i="1" s="1"/>
  <c r="F395" i="1"/>
  <c r="G395" i="1" s="1"/>
  <c r="F397" i="1" s="1"/>
  <c r="F396" i="1"/>
  <c r="G396" i="1" s="1"/>
  <c r="F549" i="1"/>
  <c r="G549" i="1" s="1"/>
  <c r="F545" i="1"/>
  <c r="G545" i="1" s="1"/>
  <c r="F548" i="1"/>
  <c r="G548" i="1" s="1"/>
  <c r="F546" i="1"/>
  <c r="G546" i="1" s="1"/>
  <c r="F547" i="1"/>
  <c r="G547" i="1" s="1"/>
  <c r="F249" i="1"/>
  <c r="F250" i="1"/>
  <c r="G250" i="1" s="1"/>
  <c r="F542" i="1"/>
  <c r="G542" i="1" s="1"/>
  <c r="G541" i="1"/>
  <c r="F543" i="1" s="1"/>
  <c r="G543" i="1" s="1"/>
  <c r="G240" i="1"/>
  <c r="G241" i="1"/>
  <c r="G196" i="1"/>
  <c r="F198" i="1"/>
  <c r="F146" i="1"/>
  <c r="G146" i="1" s="1"/>
  <c r="G144" i="1"/>
  <c r="F149" i="1"/>
  <c r="F148" i="1"/>
  <c r="G148" i="1" s="1"/>
  <c r="F147" i="1"/>
  <c r="G147" i="1" s="1"/>
  <c r="F145" i="1"/>
  <c r="G145" i="1" s="1"/>
  <c r="F97" i="1"/>
  <c r="G96" i="1"/>
  <c r="F45" i="1"/>
  <c r="G45" i="1" s="1"/>
  <c r="G44" i="1"/>
  <c r="F47" i="1"/>
  <c r="G47" i="1" s="1"/>
  <c r="F46" i="1"/>
  <c r="G46" i="1" s="1"/>
  <c r="F550" i="1" l="1"/>
  <c r="G550" i="1" s="1"/>
  <c r="F551" i="1"/>
  <c r="G551" i="1" s="1"/>
  <c r="G397" i="1"/>
  <c r="F399" i="1" s="1"/>
  <c r="G399" i="1" s="1"/>
  <c r="F398" i="1"/>
  <c r="G398" i="1" s="1"/>
  <c r="F596" i="1"/>
  <c r="G596" i="1" s="1"/>
  <c r="G595" i="1"/>
  <c r="F597" i="1" s="1"/>
  <c r="G597" i="1" s="1"/>
  <c r="F251" i="1"/>
  <c r="G249" i="1"/>
  <c r="F600" i="1"/>
  <c r="G600" i="1" s="1"/>
  <c r="F599" i="1"/>
  <c r="G599" i="1" s="1"/>
  <c r="F602" i="1"/>
  <c r="G602" i="1" s="1"/>
  <c r="F601" i="1"/>
  <c r="G601" i="1" s="1"/>
  <c r="F603" i="1"/>
  <c r="G603" i="1" s="1"/>
  <c r="F499" i="1"/>
  <c r="G499" i="1" s="1"/>
  <c r="F500" i="1"/>
  <c r="G500" i="1" s="1"/>
  <c r="F303" i="1"/>
  <c r="G303" i="1" s="1"/>
  <c r="F302" i="1"/>
  <c r="F644" i="1"/>
  <c r="G644" i="1" s="1"/>
  <c r="F696" i="1"/>
  <c r="G696" i="1" s="1"/>
  <c r="F647" i="1"/>
  <c r="G647" i="1" s="1"/>
  <c r="F648" i="1" s="1"/>
  <c r="F646" i="1"/>
  <c r="G646" i="1" s="1"/>
  <c r="F695" i="1"/>
  <c r="G695" i="1" s="1"/>
  <c r="F645" i="1"/>
  <c r="G645" i="1" s="1"/>
  <c r="F651" i="1" s="1"/>
  <c r="G651" i="1" s="1"/>
  <c r="F694" i="1"/>
  <c r="G694" i="1" s="1"/>
  <c r="G294" i="1"/>
  <c r="G293" i="1"/>
  <c r="F449" i="1"/>
  <c r="G449" i="1" s="1"/>
  <c r="F448" i="1"/>
  <c r="G448" i="1" s="1"/>
  <c r="F450" i="1" s="1"/>
  <c r="F351" i="1"/>
  <c r="G351" i="1" s="1"/>
  <c r="F350" i="1"/>
  <c r="G350" i="1" s="1"/>
  <c r="F346" i="1"/>
  <c r="F349" i="1"/>
  <c r="F348" i="1"/>
  <c r="G349" i="1" s="1"/>
  <c r="F352" i="1"/>
  <c r="G352" i="1" s="1"/>
  <c r="F347" i="1"/>
  <c r="G348" i="1" s="1"/>
  <c r="F353" i="1"/>
  <c r="G353" i="1" s="1"/>
  <c r="F354" i="1" s="1"/>
  <c r="G354" i="1" s="1"/>
  <c r="F202" i="1"/>
  <c r="G202" i="1" s="1"/>
  <c r="F200" i="1"/>
  <c r="G200" i="1" s="1"/>
  <c r="F203" i="1"/>
  <c r="F201" i="1"/>
  <c r="G201" i="1" s="1"/>
  <c r="G198" i="1"/>
  <c r="F199" i="1"/>
  <c r="G199" i="1" s="1"/>
  <c r="F100" i="1"/>
  <c r="G100" i="1" s="1"/>
  <c r="F99" i="1"/>
  <c r="G99" i="1" s="1"/>
  <c r="F98" i="1"/>
  <c r="G98" i="1" s="1"/>
  <c r="G97" i="1"/>
  <c r="G149" i="1"/>
  <c r="F150" i="1"/>
  <c r="F51" i="1"/>
  <c r="G51" i="1" s="1"/>
  <c r="F50" i="1"/>
  <c r="G50" i="1" s="1"/>
  <c r="F49" i="1"/>
  <c r="G49" i="1" s="1"/>
  <c r="F52" i="1"/>
  <c r="G52" i="1" s="1"/>
  <c r="F48" i="1"/>
  <c r="G48" i="1" s="1"/>
  <c r="F355" i="1" l="1"/>
  <c r="F356" i="1"/>
  <c r="G356" i="1" s="1"/>
  <c r="F255" i="1"/>
  <c r="G255" i="1" s="1"/>
  <c r="F254" i="1"/>
  <c r="G254" i="1" s="1"/>
  <c r="F252" i="1"/>
  <c r="G252" i="1" s="1"/>
  <c r="G251" i="1"/>
  <c r="F253" i="1"/>
  <c r="G253" i="1" s="1"/>
  <c r="F256" i="1"/>
  <c r="G302" i="1"/>
  <c r="F304" i="1"/>
  <c r="F451" i="1"/>
  <c r="G451" i="1" s="1"/>
  <c r="G450" i="1"/>
  <c r="F452" i="1" s="1"/>
  <c r="G452" i="1" s="1"/>
  <c r="G347" i="1"/>
  <c r="G346" i="1"/>
  <c r="F501" i="1"/>
  <c r="G501" i="1" s="1"/>
  <c r="F503" i="1" s="1"/>
  <c r="F502" i="1"/>
  <c r="G502" i="1" s="1"/>
  <c r="F405" i="1"/>
  <c r="G405" i="1" s="1"/>
  <c r="F404" i="1"/>
  <c r="G404" i="1" s="1"/>
  <c r="F401" i="1"/>
  <c r="G402" i="1" s="1"/>
  <c r="F406" i="1"/>
  <c r="G406" i="1" s="1"/>
  <c r="F400" i="1"/>
  <c r="F402" i="1"/>
  <c r="G403" i="1" s="1"/>
  <c r="F403" i="1"/>
  <c r="F407" i="1"/>
  <c r="G407" i="1" s="1"/>
  <c r="F408" i="1" s="1"/>
  <c r="G408" i="1" s="1"/>
  <c r="F655" i="1"/>
  <c r="G655" i="1" s="1"/>
  <c r="F654" i="1"/>
  <c r="G654" i="1" s="1"/>
  <c r="F652" i="1"/>
  <c r="G652" i="1" s="1"/>
  <c r="F656" i="1"/>
  <c r="G656" i="1" s="1"/>
  <c r="F653" i="1"/>
  <c r="G653" i="1" s="1"/>
  <c r="F649" i="1"/>
  <c r="G649" i="1" s="1"/>
  <c r="G648" i="1"/>
  <c r="F650" i="1" s="1"/>
  <c r="G650" i="1" s="1"/>
  <c r="F749" i="1"/>
  <c r="G749" i="1" s="1"/>
  <c r="F747" i="1"/>
  <c r="G747" i="1" s="1"/>
  <c r="F698" i="1"/>
  <c r="G698" i="1" s="1"/>
  <c r="F704" i="1" s="1"/>
  <c r="G704" i="1" s="1"/>
  <c r="F748" i="1"/>
  <c r="G748" i="1" s="1"/>
  <c r="F802" i="1" s="1"/>
  <c r="G802" i="1" s="1"/>
  <c r="F700" i="1"/>
  <c r="G700" i="1" s="1"/>
  <c r="F701" i="1" s="1"/>
  <c r="F699" i="1"/>
  <c r="G699" i="1" s="1"/>
  <c r="F697" i="1"/>
  <c r="G697" i="1" s="1"/>
  <c r="F604" i="1"/>
  <c r="G604" i="1" s="1"/>
  <c r="F605" i="1"/>
  <c r="G605" i="1" s="1"/>
  <c r="F552" i="1"/>
  <c r="G552" i="1" s="1"/>
  <c r="F553" i="1"/>
  <c r="G553" i="1" s="1"/>
  <c r="G203" i="1"/>
  <c r="F204" i="1"/>
  <c r="F152" i="1"/>
  <c r="G152" i="1" s="1"/>
  <c r="G150" i="1"/>
  <c r="F153" i="1"/>
  <c r="G153" i="1" s="1"/>
  <c r="F151" i="1"/>
  <c r="G151" i="1" s="1"/>
  <c r="F105" i="1"/>
  <c r="G105" i="1" s="1"/>
  <c r="F104" i="1"/>
  <c r="G104" i="1" s="1"/>
  <c r="F103" i="1"/>
  <c r="G103" i="1" s="1"/>
  <c r="F102" i="1"/>
  <c r="G102" i="1" s="1"/>
  <c r="F101" i="1"/>
  <c r="G101" i="1" s="1"/>
  <c r="F54" i="1"/>
  <c r="G54" i="1" s="1"/>
  <c r="F53" i="1"/>
  <c r="G53" i="1" s="1"/>
  <c r="F409" i="1" l="1"/>
  <c r="F410" i="1"/>
  <c r="G410" i="1" s="1"/>
  <c r="F709" i="1"/>
  <c r="G709" i="1" s="1"/>
  <c r="F706" i="1"/>
  <c r="G706" i="1" s="1"/>
  <c r="F705" i="1"/>
  <c r="G705" i="1" s="1"/>
  <c r="F708" i="1"/>
  <c r="G708" i="1" s="1"/>
  <c r="F707" i="1"/>
  <c r="G707" i="1" s="1"/>
  <c r="F803" i="1"/>
  <c r="G803" i="1" s="1"/>
  <c r="F750" i="1"/>
  <c r="G750" i="1" s="1"/>
  <c r="F752" i="1"/>
  <c r="G752" i="1" s="1"/>
  <c r="F801" i="1"/>
  <c r="G801" i="1" s="1"/>
  <c r="F751" i="1"/>
  <c r="G751" i="1" s="1"/>
  <c r="F757" i="1" s="1"/>
  <c r="G757" i="1" s="1"/>
  <c r="F753" i="1"/>
  <c r="G753" i="1" s="1"/>
  <c r="F754" i="1" s="1"/>
  <c r="F800" i="1"/>
  <c r="G800" i="1" s="1"/>
  <c r="G701" i="1"/>
  <c r="F703" i="1" s="1"/>
  <c r="G703" i="1" s="1"/>
  <c r="F702" i="1"/>
  <c r="G702" i="1" s="1"/>
  <c r="F307" i="1"/>
  <c r="G307" i="1" s="1"/>
  <c r="F308" i="1"/>
  <c r="G308" i="1" s="1"/>
  <c r="F305" i="1"/>
  <c r="G305" i="1" s="1"/>
  <c r="F309" i="1"/>
  <c r="F306" i="1"/>
  <c r="G306" i="1" s="1"/>
  <c r="G304" i="1"/>
  <c r="G401" i="1"/>
  <c r="G400" i="1"/>
  <c r="F658" i="1"/>
  <c r="G658" i="1" s="1"/>
  <c r="F657" i="1"/>
  <c r="G657" i="1" s="1"/>
  <c r="F607" i="1"/>
  <c r="G607" i="1" s="1"/>
  <c r="F606" i="1"/>
  <c r="G606" i="1" s="1"/>
  <c r="F504" i="1"/>
  <c r="G504" i="1" s="1"/>
  <c r="G503" i="1"/>
  <c r="F505" i="1" s="1"/>
  <c r="G505" i="1" s="1"/>
  <c r="F555" i="1"/>
  <c r="G555" i="1" s="1"/>
  <c r="F554" i="1"/>
  <c r="G554" i="1" s="1"/>
  <c r="F556" i="1" s="1"/>
  <c r="F455" i="1"/>
  <c r="G456" i="1" s="1"/>
  <c r="F460" i="1"/>
  <c r="G460" i="1" s="1"/>
  <c r="F461" i="1" s="1"/>
  <c r="G461" i="1" s="1"/>
  <c r="F456" i="1"/>
  <c r="F453" i="1"/>
  <c r="F458" i="1"/>
  <c r="G458" i="1" s="1"/>
  <c r="F459" i="1"/>
  <c r="G459" i="1" s="1"/>
  <c r="F454" i="1"/>
  <c r="G455" i="1" s="1"/>
  <c r="F457" i="1"/>
  <c r="G457" i="1" s="1"/>
  <c r="F257" i="1"/>
  <c r="G256" i="1"/>
  <c r="F357" i="1"/>
  <c r="G355" i="1"/>
  <c r="F205" i="1"/>
  <c r="G205" i="1" s="1"/>
  <c r="F207" i="1"/>
  <c r="G207" i="1" s="1"/>
  <c r="G204" i="1"/>
  <c r="F206" i="1"/>
  <c r="G206" i="1" s="1"/>
  <c r="F107" i="1"/>
  <c r="G107" i="1" s="1"/>
  <c r="F106" i="1"/>
  <c r="G106" i="1" s="1"/>
  <c r="F157" i="1"/>
  <c r="G157" i="1" s="1"/>
  <c r="F158" i="1"/>
  <c r="G158" i="1" s="1"/>
  <c r="F156" i="1"/>
  <c r="G156" i="1" s="1"/>
  <c r="F155" i="1"/>
  <c r="G155" i="1" s="1"/>
  <c r="F154" i="1"/>
  <c r="G154" i="1" s="1"/>
  <c r="G454" i="1" l="1"/>
  <c r="G453" i="1"/>
  <c r="F462" i="1"/>
  <c r="F463" i="1"/>
  <c r="G463" i="1" s="1"/>
  <c r="F310" i="1"/>
  <c r="G309" i="1"/>
  <c r="F361" i="1"/>
  <c r="G361" i="1" s="1"/>
  <c r="F359" i="1"/>
  <c r="G359" i="1" s="1"/>
  <c r="F358" i="1"/>
  <c r="G358" i="1" s="1"/>
  <c r="F360" i="1"/>
  <c r="G360" i="1" s="1"/>
  <c r="F362" i="1"/>
  <c r="G357" i="1"/>
  <c r="F506" i="1"/>
  <c r="F511" i="1"/>
  <c r="G511" i="1" s="1"/>
  <c r="F508" i="1"/>
  <c r="G509" i="1" s="1"/>
  <c r="F512" i="1"/>
  <c r="G512" i="1" s="1"/>
  <c r="F510" i="1"/>
  <c r="G510" i="1" s="1"/>
  <c r="F507" i="1"/>
  <c r="G508" i="1" s="1"/>
  <c r="F513" i="1"/>
  <c r="G513" i="1" s="1"/>
  <c r="F514" i="1" s="1"/>
  <c r="G514" i="1" s="1"/>
  <c r="F509" i="1"/>
  <c r="G257" i="1"/>
  <c r="F260" i="1"/>
  <c r="G260" i="1" s="1"/>
  <c r="F258" i="1"/>
  <c r="G258" i="1" s="1"/>
  <c r="F259" i="1"/>
  <c r="G259" i="1" s="1"/>
  <c r="F609" i="1"/>
  <c r="G609" i="1" s="1"/>
  <c r="F608" i="1"/>
  <c r="G608" i="1" s="1"/>
  <c r="F610" i="1" s="1"/>
  <c r="F711" i="1"/>
  <c r="G711" i="1" s="1"/>
  <c r="F710" i="1"/>
  <c r="G710" i="1" s="1"/>
  <c r="F762" i="1"/>
  <c r="G762" i="1" s="1"/>
  <c r="F761" i="1"/>
  <c r="G761" i="1" s="1"/>
  <c r="F760" i="1"/>
  <c r="G760" i="1" s="1"/>
  <c r="F758" i="1"/>
  <c r="G758" i="1" s="1"/>
  <c r="F759" i="1"/>
  <c r="G759" i="1" s="1"/>
  <c r="F557" i="1"/>
  <c r="G557" i="1" s="1"/>
  <c r="G556" i="1"/>
  <c r="F558" i="1" s="1"/>
  <c r="G558" i="1" s="1"/>
  <c r="F659" i="1"/>
  <c r="G659" i="1" s="1"/>
  <c r="F660" i="1"/>
  <c r="G660" i="1" s="1"/>
  <c r="F807" i="1"/>
  <c r="G807" i="1" s="1"/>
  <c r="F808" i="1" s="1"/>
  <c r="F805" i="1"/>
  <c r="G805" i="1" s="1"/>
  <c r="F811" i="1" s="1"/>
  <c r="G811" i="1" s="1"/>
  <c r="F854" i="1"/>
  <c r="G854" i="1" s="1"/>
  <c r="F855" i="1"/>
  <c r="G855" i="1" s="1"/>
  <c r="F806" i="1"/>
  <c r="G806" i="1" s="1"/>
  <c r="F804" i="1"/>
  <c r="G804" i="1" s="1"/>
  <c r="F856" i="1"/>
  <c r="G856" i="1" s="1"/>
  <c r="G754" i="1"/>
  <c r="F756" i="1" s="1"/>
  <c r="G756" i="1" s="1"/>
  <c r="F755" i="1"/>
  <c r="G755" i="1" s="1"/>
  <c r="G409" i="1"/>
  <c r="F411" i="1"/>
  <c r="F210" i="1"/>
  <c r="G210" i="1" s="1"/>
  <c r="F212" i="1"/>
  <c r="G212" i="1" s="1"/>
  <c r="F211" i="1"/>
  <c r="G211" i="1" s="1"/>
  <c r="F208" i="1"/>
  <c r="G208" i="1" s="1"/>
  <c r="F209" i="1"/>
  <c r="G209" i="1" s="1"/>
  <c r="F159" i="1"/>
  <c r="G159" i="1" s="1"/>
  <c r="F160" i="1"/>
  <c r="G160" i="1" s="1"/>
  <c r="F566" i="1" l="1"/>
  <c r="G566" i="1" s="1"/>
  <c r="F567" i="1" s="1"/>
  <c r="G567" i="1" s="1"/>
  <c r="F565" i="1"/>
  <c r="G565" i="1" s="1"/>
  <c r="F564" i="1"/>
  <c r="G564" i="1" s="1"/>
  <c r="F561" i="1"/>
  <c r="G562" i="1" s="1"/>
  <c r="F559" i="1"/>
  <c r="F562" i="1"/>
  <c r="F560" i="1"/>
  <c r="G561" i="1" s="1"/>
  <c r="F563" i="1"/>
  <c r="G563" i="1" s="1"/>
  <c r="F313" i="1"/>
  <c r="G313" i="1" s="1"/>
  <c r="F312" i="1"/>
  <c r="G312" i="1" s="1"/>
  <c r="F311" i="1"/>
  <c r="G311" i="1" s="1"/>
  <c r="G310" i="1"/>
  <c r="G362" i="1"/>
  <c r="F363" i="1"/>
  <c r="F713" i="1"/>
  <c r="G713" i="1" s="1"/>
  <c r="F712" i="1"/>
  <c r="G712" i="1" s="1"/>
  <c r="F415" i="1"/>
  <c r="G415" i="1" s="1"/>
  <c r="F413" i="1"/>
  <c r="G413" i="1" s="1"/>
  <c r="F414" i="1"/>
  <c r="G414" i="1" s="1"/>
  <c r="G411" i="1"/>
  <c r="F412" i="1"/>
  <c r="G412" i="1" s="1"/>
  <c r="F416" i="1"/>
  <c r="F516" i="1"/>
  <c r="G516" i="1" s="1"/>
  <c r="F515" i="1"/>
  <c r="F814" i="1"/>
  <c r="G814" i="1" s="1"/>
  <c r="F812" i="1"/>
  <c r="G812" i="1" s="1"/>
  <c r="F815" i="1"/>
  <c r="G815" i="1" s="1"/>
  <c r="F813" i="1"/>
  <c r="G813" i="1" s="1"/>
  <c r="F816" i="1"/>
  <c r="G816" i="1" s="1"/>
  <c r="G462" i="1"/>
  <c r="F464" i="1"/>
  <c r="F857" i="1"/>
  <c r="G857" i="1" s="1"/>
  <c r="F907" i="1"/>
  <c r="G907" i="1" s="1"/>
  <c r="F909" i="1"/>
  <c r="G909" i="1" s="1"/>
  <c r="F860" i="1"/>
  <c r="G860" i="1" s="1"/>
  <c r="F861" i="1" s="1"/>
  <c r="F858" i="1"/>
  <c r="G858" i="1" s="1"/>
  <c r="F864" i="1" s="1"/>
  <c r="G864" i="1" s="1"/>
  <c r="F859" i="1"/>
  <c r="G859" i="1" s="1"/>
  <c r="F908" i="1"/>
  <c r="G908" i="1" s="1"/>
  <c r="F764" i="1"/>
  <c r="G764" i="1" s="1"/>
  <c r="F763" i="1"/>
  <c r="G763" i="1" s="1"/>
  <c r="G808" i="1"/>
  <c r="F810" i="1" s="1"/>
  <c r="G810" i="1" s="1"/>
  <c r="F809" i="1"/>
  <c r="G809" i="1" s="1"/>
  <c r="G610" i="1"/>
  <c r="F612" i="1" s="1"/>
  <c r="G612" i="1" s="1"/>
  <c r="F611" i="1"/>
  <c r="G611" i="1" s="1"/>
  <c r="F265" i="1"/>
  <c r="G265" i="1" s="1"/>
  <c r="F264" i="1"/>
  <c r="G264" i="1" s="1"/>
  <c r="F263" i="1"/>
  <c r="G263" i="1" s="1"/>
  <c r="F262" i="1"/>
  <c r="G262" i="1" s="1"/>
  <c r="F261" i="1"/>
  <c r="G261" i="1" s="1"/>
  <c r="F662" i="1"/>
  <c r="G662" i="1" s="1"/>
  <c r="F661" i="1"/>
  <c r="G661" i="1" s="1"/>
  <c r="F663" i="1" s="1"/>
  <c r="G506" i="1"/>
  <c r="G507" i="1"/>
  <c r="F213" i="1"/>
  <c r="G213" i="1" s="1"/>
  <c r="F214" i="1"/>
  <c r="G214" i="1" s="1"/>
  <c r="F868" i="1" l="1"/>
  <c r="G868" i="1" s="1"/>
  <c r="F866" i="1"/>
  <c r="G866" i="1" s="1"/>
  <c r="F865" i="1"/>
  <c r="G865" i="1" s="1"/>
  <c r="F869" i="1"/>
  <c r="G869" i="1" s="1"/>
  <c r="F867" i="1"/>
  <c r="G867" i="1" s="1"/>
  <c r="G416" i="1"/>
  <c r="F417" i="1"/>
  <c r="F818" i="1"/>
  <c r="G818" i="1" s="1"/>
  <c r="F817" i="1"/>
  <c r="G817" i="1" s="1"/>
  <c r="G560" i="1"/>
  <c r="G559" i="1"/>
  <c r="F913" i="1"/>
  <c r="G913" i="1" s="1"/>
  <c r="F914" i="1" s="1"/>
  <c r="F910" i="1"/>
  <c r="G910" i="1" s="1"/>
  <c r="F960" i="1"/>
  <c r="G960" i="1" s="1"/>
  <c r="F961" i="1"/>
  <c r="G961" i="1" s="1"/>
  <c r="F1015" i="1" s="1"/>
  <c r="G1015" i="1" s="1"/>
  <c r="F911" i="1"/>
  <c r="G911" i="1" s="1"/>
  <c r="F917" i="1" s="1"/>
  <c r="G917" i="1" s="1"/>
  <c r="F912" i="1"/>
  <c r="G912" i="1" s="1"/>
  <c r="F962" i="1"/>
  <c r="G962" i="1" s="1"/>
  <c r="F766" i="1"/>
  <c r="G766" i="1" s="1"/>
  <c r="F765" i="1"/>
  <c r="G765" i="1" s="1"/>
  <c r="G861" i="1"/>
  <c r="F863" i="1" s="1"/>
  <c r="G863" i="1" s="1"/>
  <c r="F862" i="1"/>
  <c r="G862" i="1" s="1"/>
  <c r="F266" i="1"/>
  <c r="G266" i="1" s="1"/>
  <c r="F267" i="1"/>
  <c r="G267" i="1" s="1"/>
  <c r="F466" i="1"/>
  <c r="G466" i="1" s="1"/>
  <c r="F467" i="1"/>
  <c r="G467" i="1" s="1"/>
  <c r="G464" i="1"/>
  <c r="F469" i="1"/>
  <c r="F465" i="1"/>
  <c r="G465" i="1" s="1"/>
  <c r="F468" i="1"/>
  <c r="G468" i="1" s="1"/>
  <c r="G663" i="1"/>
  <c r="F665" i="1" s="1"/>
  <c r="G665" i="1" s="1"/>
  <c r="F664" i="1"/>
  <c r="G664" i="1" s="1"/>
  <c r="F715" i="1"/>
  <c r="G715" i="1" s="1"/>
  <c r="F714" i="1"/>
  <c r="G714" i="1" s="1"/>
  <c r="F716" i="1" s="1"/>
  <c r="F316" i="1"/>
  <c r="G316" i="1" s="1"/>
  <c r="F318" i="1"/>
  <c r="G318" i="1" s="1"/>
  <c r="F315" i="1"/>
  <c r="G315" i="1" s="1"/>
  <c r="F314" i="1"/>
  <c r="G314" i="1" s="1"/>
  <c r="F317" i="1"/>
  <c r="G317" i="1" s="1"/>
  <c r="F615" i="1"/>
  <c r="G616" i="1" s="1"/>
  <c r="F613" i="1"/>
  <c r="F617" i="1"/>
  <c r="G617" i="1" s="1"/>
  <c r="F616" i="1"/>
  <c r="F614" i="1"/>
  <c r="G615" i="1" s="1"/>
  <c r="F618" i="1"/>
  <c r="G618" i="1" s="1"/>
  <c r="F620" i="1"/>
  <c r="G620" i="1" s="1"/>
  <c r="F621" i="1" s="1"/>
  <c r="G621" i="1" s="1"/>
  <c r="F619" i="1"/>
  <c r="G619" i="1" s="1"/>
  <c r="G363" i="1"/>
  <c r="F365" i="1"/>
  <c r="G365" i="1" s="1"/>
  <c r="F366" i="1"/>
  <c r="G366" i="1" s="1"/>
  <c r="F364" i="1"/>
  <c r="G364" i="1" s="1"/>
  <c r="G515" i="1"/>
  <c r="F517" i="1"/>
  <c r="F568" i="1"/>
  <c r="F569" i="1"/>
  <c r="G569" i="1" s="1"/>
  <c r="G716" i="1" l="1"/>
  <c r="F718" i="1" s="1"/>
  <c r="G718" i="1" s="1"/>
  <c r="F717" i="1"/>
  <c r="G717" i="1" s="1"/>
  <c r="F820" i="1"/>
  <c r="G820" i="1" s="1"/>
  <c r="F819" i="1"/>
  <c r="G819" i="1" s="1"/>
  <c r="F915" i="1"/>
  <c r="G915" i="1" s="1"/>
  <c r="G914" i="1"/>
  <c r="F916" i="1" s="1"/>
  <c r="G916" i="1" s="1"/>
  <c r="F667" i="1"/>
  <c r="G668" i="1" s="1"/>
  <c r="F668" i="1"/>
  <c r="G669" i="1" s="1"/>
  <c r="F673" i="1"/>
  <c r="G673" i="1" s="1"/>
  <c r="F674" i="1" s="1"/>
  <c r="G674" i="1" s="1"/>
  <c r="F666" i="1"/>
  <c r="F672" i="1"/>
  <c r="G672" i="1" s="1"/>
  <c r="F669" i="1"/>
  <c r="F670" i="1"/>
  <c r="G670" i="1" s="1"/>
  <c r="F671" i="1"/>
  <c r="G671" i="1" s="1"/>
  <c r="G568" i="1"/>
  <c r="F570" i="1"/>
  <c r="F521" i="1"/>
  <c r="G521" i="1" s="1"/>
  <c r="F522" i="1"/>
  <c r="F519" i="1"/>
  <c r="G519" i="1" s="1"/>
  <c r="G517" i="1"/>
  <c r="F518" i="1"/>
  <c r="G518" i="1" s="1"/>
  <c r="F520" i="1"/>
  <c r="G520" i="1" s="1"/>
  <c r="G613" i="1"/>
  <c r="G614" i="1"/>
  <c r="F470" i="1"/>
  <c r="G469" i="1"/>
  <c r="F920" i="1"/>
  <c r="G920" i="1" s="1"/>
  <c r="F921" i="1"/>
  <c r="G921" i="1" s="1"/>
  <c r="F919" i="1"/>
  <c r="G919" i="1" s="1"/>
  <c r="F922" i="1"/>
  <c r="G922" i="1" s="1"/>
  <c r="F918" i="1"/>
  <c r="G918" i="1" s="1"/>
  <c r="F870" i="1"/>
  <c r="G870" i="1" s="1"/>
  <c r="F871" i="1"/>
  <c r="G871" i="1" s="1"/>
  <c r="F768" i="1"/>
  <c r="G768" i="1" s="1"/>
  <c r="F767" i="1"/>
  <c r="G767" i="1" s="1"/>
  <c r="F769" i="1" s="1"/>
  <c r="F320" i="1"/>
  <c r="G320" i="1" s="1"/>
  <c r="F319" i="1"/>
  <c r="G319" i="1" s="1"/>
  <c r="F623" i="1"/>
  <c r="G623" i="1" s="1"/>
  <c r="F622" i="1"/>
  <c r="F419" i="1"/>
  <c r="G419" i="1" s="1"/>
  <c r="F420" i="1"/>
  <c r="G420" i="1" s="1"/>
  <c r="F418" i="1"/>
  <c r="G418" i="1" s="1"/>
  <c r="G417" i="1"/>
  <c r="F963" i="1"/>
  <c r="G963" i="1" s="1"/>
  <c r="F964" i="1"/>
  <c r="G964" i="1" s="1"/>
  <c r="F970" i="1" s="1"/>
  <c r="G970" i="1" s="1"/>
  <c r="F1016" i="1"/>
  <c r="G1016" i="1" s="1"/>
  <c r="F1014" i="1"/>
  <c r="G1014" i="1" s="1"/>
  <c r="F966" i="1"/>
  <c r="G966" i="1" s="1"/>
  <c r="F967" i="1" s="1"/>
  <c r="F1013" i="1"/>
  <c r="G1013" i="1" s="1"/>
  <c r="F965" i="1"/>
  <c r="G965" i="1" s="1"/>
  <c r="F368" i="1"/>
  <c r="G368" i="1" s="1"/>
  <c r="F367" i="1"/>
  <c r="G367" i="1" s="1"/>
  <c r="F369" i="1"/>
  <c r="G369" i="1" s="1"/>
  <c r="F371" i="1"/>
  <c r="G371" i="1" s="1"/>
  <c r="F370" i="1"/>
  <c r="G370" i="1" s="1"/>
  <c r="F373" i="1" l="1"/>
  <c r="G373" i="1" s="1"/>
  <c r="F372" i="1"/>
  <c r="G372" i="1" s="1"/>
  <c r="F421" i="1"/>
  <c r="G421" i="1" s="1"/>
  <c r="F424" i="1"/>
  <c r="G424" i="1" s="1"/>
  <c r="F422" i="1"/>
  <c r="G422" i="1" s="1"/>
  <c r="F425" i="1"/>
  <c r="G425" i="1" s="1"/>
  <c r="F423" i="1"/>
  <c r="G423" i="1" s="1"/>
  <c r="F573" i="1"/>
  <c r="G573" i="1" s="1"/>
  <c r="F572" i="1"/>
  <c r="G572" i="1" s="1"/>
  <c r="F571" i="1"/>
  <c r="G571" i="1" s="1"/>
  <c r="G570" i="1"/>
  <c r="F574" i="1"/>
  <c r="G574" i="1" s="1"/>
  <c r="F575" i="1"/>
  <c r="F968" i="1"/>
  <c r="G968" i="1" s="1"/>
  <c r="G967" i="1"/>
  <c r="F969" i="1" s="1"/>
  <c r="G969" i="1" s="1"/>
  <c r="F1069" i="1"/>
  <c r="G1069" i="1" s="1"/>
  <c r="F1067" i="1"/>
  <c r="G1067" i="1" s="1"/>
  <c r="F1068" i="1"/>
  <c r="G1068" i="1" s="1"/>
  <c r="F1018" i="1"/>
  <c r="G1018" i="1" s="1"/>
  <c r="F1024" i="1" s="1"/>
  <c r="G1024" i="1" s="1"/>
  <c r="F1017" i="1"/>
  <c r="G1017" i="1" s="1"/>
  <c r="F1020" i="1"/>
  <c r="G1020" i="1" s="1"/>
  <c r="F1021" i="1" s="1"/>
  <c r="F1019" i="1"/>
  <c r="G1019" i="1" s="1"/>
  <c r="G666" i="1"/>
  <c r="G667" i="1"/>
  <c r="F873" i="1"/>
  <c r="G873" i="1" s="1"/>
  <c r="F872" i="1"/>
  <c r="G872" i="1" s="1"/>
  <c r="G622" i="1"/>
  <c r="F624" i="1"/>
  <c r="F821" i="1"/>
  <c r="G821" i="1" s="1"/>
  <c r="F823" i="1" s="1"/>
  <c r="F822" i="1"/>
  <c r="G822" i="1" s="1"/>
  <c r="F675" i="1"/>
  <c r="F676" i="1"/>
  <c r="G676" i="1" s="1"/>
  <c r="F523" i="1"/>
  <c r="G522" i="1"/>
  <c r="G769" i="1"/>
  <c r="F771" i="1" s="1"/>
  <c r="G771" i="1" s="1"/>
  <c r="F770" i="1"/>
  <c r="G770" i="1" s="1"/>
  <c r="F971" i="1"/>
  <c r="G971" i="1" s="1"/>
  <c r="F973" i="1"/>
  <c r="G973" i="1" s="1"/>
  <c r="F972" i="1"/>
  <c r="G972" i="1" s="1"/>
  <c r="F974" i="1"/>
  <c r="G974" i="1" s="1"/>
  <c r="F975" i="1"/>
  <c r="G975" i="1" s="1"/>
  <c r="F924" i="1"/>
  <c r="G924" i="1" s="1"/>
  <c r="F923" i="1"/>
  <c r="G923" i="1" s="1"/>
  <c r="F472" i="1"/>
  <c r="G472" i="1" s="1"/>
  <c r="G470" i="1"/>
  <c r="F473" i="1"/>
  <c r="G473" i="1" s="1"/>
  <c r="F471" i="1"/>
  <c r="G471" i="1" s="1"/>
  <c r="F721" i="1"/>
  <c r="G722" i="1" s="1"/>
  <c r="F726" i="1"/>
  <c r="G726" i="1" s="1"/>
  <c r="F727" i="1" s="1"/>
  <c r="G727" i="1" s="1"/>
  <c r="F720" i="1"/>
  <c r="G721" i="1" s="1"/>
  <c r="F724" i="1"/>
  <c r="G724" i="1" s="1"/>
  <c r="F722" i="1"/>
  <c r="F725" i="1"/>
  <c r="G725" i="1" s="1"/>
  <c r="F723" i="1"/>
  <c r="G723" i="1" s="1"/>
  <c r="F719" i="1"/>
  <c r="F774" i="1" l="1"/>
  <c r="G775" i="1" s="1"/>
  <c r="F776" i="1"/>
  <c r="G776" i="1" s="1"/>
  <c r="F777" i="1"/>
  <c r="G777" i="1" s="1"/>
  <c r="F778" i="1"/>
  <c r="G778" i="1" s="1"/>
  <c r="F779" i="1"/>
  <c r="G779" i="1" s="1"/>
  <c r="F780" i="1" s="1"/>
  <c r="G780" i="1" s="1"/>
  <c r="F772" i="1"/>
  <c r="F773" i="1"/>
  <c r="G774" i="1" s="1"/>
  <c r="F775" i="1"/>
  <c r="G523" i="1"/>
  <c r="F524" i="1"/>
  <c r="G524" i="1" s="1"/>
  <c r="F526" i="1"/>
  <c r="G526" i="1" s="1"/>
  <c r="F525" i="1"/>
  <c r="G525" i="1" s="1"/>
  <c r="G1021" i="1"/>
  <c r="F1023" i="1" s="1"/>
  <c r="G1023" i="1" s="1"/>
  <c r="F1022" i="1"/>
  <c r="G1022" i="1" s="1"/>
  <c r="F925" i="1"/>
  <c r="G925" i="1" s="1"/>
  <c r="F926" i="1"/>
  <c r="G926" i="1" s="1"/>
  <c r="G823" i="1"/>
  <c r="F825" i="1" s="1"/>
  <c r="G825" i="1" s="1"/>
  <c r="F824" i="1"/>
  <c r="G824" i="1" s="1"/>
  <c r="F427" i="1"/>
  <c r="G427" i="1" s="1"/>
  <c r="F426" i="1"/>
  <c r="G426" i="1" s="1"/>
  <c r="F477" i="1"/>
  <c r="G477" i="1" s="1"/>
  <c r="F475" i="1"/>
  <c r="G475" i="1" s="1"/>
  <c r="F476" i="1"/>
  <c r="G476" i="1" s="1"/>
  <c r="F478" i="1"/>
  <c r="G478" i="1" s="1"/>
  <c r="F474" i="1"/>
  <c r="G474" i="1" s="1"/>
  <c r="G719" i="1"/>
  <c r="G720" i="1"/>
  <c r="F677" i="1"/>
  <c r="G675" i="1"/>
  <c r="F627" i="1"/>
  <c r="G627" i="1" s="1"/>
  <c r="F629" i="1"/>
  <c r="F626" i="1"/>
  <c r="G626" i="1" s="1"/>
  <c r="F625" i="1"/>
  <c r="G625" i="1" s="1"/>
  <c r="F628" i="1"/>
  <c r="G628" i="1" s="1"/>
  <c r="G624" i="1"/>
  <c r="F1026" i="1"/>
  <c r="G1026" i="1" s="1"/>
  <c r="F1025" i="1"/>
  <c r="G1025" i="1" s="1"/>
  <c r="F1028" i="1"/>
  <c r="G1028" i="1" s="1"/>
  <c r="F1027" i="1"/>
  <c r="G1027" i="1" s="1"/>
  <c r="F1029" i="1"/>
  <c r="G1029" i="1" s="1"/>
  <c r="F977" i="1"/>
  <c r="G977" i="1" s="1"/>
  <c r="F976" i="1"/>
  <c r="G976" i="1" s="1"/>
  <c r="F1070" i="1"/>
  <c r="G1070" i="1" s="1"/>
  <c r="F1121" i="1"/>
  <c r="G1121" i="1" s="1"/>
  <c r="F1071" i="1"/>
  <c r="G1071" i="1" s="1"/>
  <c r="F1077" i="1" s="1"/>
  <c r="G1077" i="1" s="1"/>
  <c r="F1122" i="1"/>
  <c r="G1122" i="1" s="1"/>
  <c r="F1073" i="1"/>
  <c r="G1073" i="1" s="1"/>
  <c r="F1074" i="1" s="1"/>
  <c r="F1072" i="1"/>
  <c r="G1072" i="1" s="1"/>
  <c r="F1120" i="1"/>
  <c r="G1120" i="1" s="1"/>
  <c r="F729" i="1"/>
  <c r="G729" i="1" s="1"/>
  <c r="F728" i="1"/>
  <c r="F874" i="1"/>
  <c r="G874" i="1" s="1"/>
  <c r="F876" i="1" s="1"/>
  <c r="F875" i="1"/>
  <c r="G875" i="1" s="1"/>
  <c r="F576" i="1"/>
  <c r="G575" i="1"/>
  <c r="F529" i="1" l="1"/>
  <c r="G529" i="1" s="1"/>
  <c r="F528" i="1"/>
  <c r="G528" i="1" s="1"/>
  <c r="F527" i="1"/>
  <c r="G527" i="1" s="1"/>
  <c r="F531" i="1"/>
  <c r="G531" i="1" s="1"/>
  <c r="F530" i="1"/>
  <c r="G530" i="1" s="1"/>
  <c r="F1123" i="1"/>
  <c r="G1123" i="1" s="1"/>
  <c r="F1174" i="1"/>
  <c r="G1174" i="1" s="1"/>
  <c r="F1228" i="1" s="1"/>
  <c r="G1228" i="1" s="1"/>
  <c r="F1173" i="1"/>
  <c r="G1173" i="1" s="1"/>
  <c r="F1125" i="1"/>
  <c r="G1125" i="1" s="1"/>
  <c r="F1126" i="1"/>
  <c r="G1126" i="1" s="1"/>
  <c r="F1127" i="1" s="1"/>
  <c r="F1124" i="1"/>
  <c r="G1124" i="1" s="1"/>
  <c r="F1130" i="1" s="1"/>
  <c r="G1130" i="1" s="1"/>
  <c r="F1175" i="1"/>
  <c r="G1175" i="1" s="1"/>
  <c r="F1082" i="1"/>
  <c r="G1082" i="1" s="1"/>
  <c r="F1081" i="1"/>
  <c r="G1081" i="1" s="1"/>
  <c r="F1078" i="1"/>
  <c r="G1078" i="1" s="1"/>
  <c r="F1079" i="1"/>
  <c r="G1079" i="1" s="1"/>
  <c r="F1080" i="1"/>
  <c r="G1080" i="1" s="1"/>
  <c r="F480" i="1"/>
  <c r="G480" i="1" s="1"/>
  <c r="F479" i="1"/>
  <c r="G479" i="1" s="1"/>
  <c r="F1075" i="1"/>
  <c r="G1075" i="1" s="1"/>
  <c r="G1074" i="1"/>
  <c r="F1076" i="1" s="1"/>
  <c r="G1076" i="1" s="1"/>
  <c r="F630" i="1"/>
  <c r="G629" i="1"/>
  <c r="F979" i="1"/>
  <c r="G979" i="1" s="1"/>
  <c r="F978" i="1"/>
  <c r="G978" i="1" s="1"/>
  <c r="G773" i="1"/>
  <c r="G772" i="1"/>
  <c r="F832" i="1"/>
  <c r="G832" i="1" s="1"/>
  <c r="F826" i="1"/>
  <c r="F827" i="1"/>
  <c r="G828" i="1" s="1"/>
  <c r="F830" i="1"/>
  <c r="G830" i="1" s="1"/>
  <c r="F831" i="1"/>
  <c r="G831" i="1" s="1"/>
  <c r="F829" i="1"/>
  <c r="F833" i="1"/>
  <c r="G833" i="1" s="1"/>
  <c r="F834" i="1" s="1"/>
  <c r="G834" i="1" s="1"/>
  <c r="F828" i="1"/>
  <c r="G829" i="1" s="1"/>
  <c r="F1030" i="1"/>
  <c r="G1030" i="1" s="1"/>
  <c r="F1031" i="1"/>
  <c r="G1031" i="1" s="1"/>
  <c r="F678" i="1"/>
  <c r="G678" i="1" s="1"/>
  <c r="G677" i="1"/>
  <c r="F680" i="1"/>
  <c r="G680" i="1" s="1"/>
  <c r="F681" i="1"/>
  <c r="G681" i="1" s="1"/>
  <c r="F682" i="1"/>
  <c r="F679" i="1"/>
  <c r="G679" i="1" s="1"/>
  <c r="F579" i="1"/>
  <c r="G579" i="1" s="1"/>
  <c r="G576" i="1"/>
  <c r="F578" i="1"/>
  <c r="G578" i="1" s="1"/>
  <c r="F577" i="1"/>
  <c r="G577" i="1" s="1"/>
  <c r="F877" i="1"/>
  <c r="G877" i="1" s="1"/>
  <c r="G876" i="1"/>
  <c r="F878" i="1" s="1"/>
  <c r="G878" i="1" s="1"/>
  <c r="F928" i="1"/>
  <c r="G928" i="1" s="1"/>
  <c r="F927" i="1"/>
  <c r="G927" i="1" s="1"/>
  <c r="F929" i="1" s="1"/>
  <c r="F730" i="1"/>
  <c r="G728" i="1"/>
  <c r="F782" i="1"/>
  <c r="G782" i="1" s="1"/>
  <c r="F781" i="1"/>
  <c r="F1134" i="1" l="1"/>
  <c r="G1134" i="1" s="1"/>
  <c r="F1133" i="1"/>
  <c r="G1133" i="1" s="1"/>
  <c r="F1132" i="1"/>
  <c r="G1132" i="1" s="1"/>
  <c r="F1131" i="1"/>
  <c r="G1131" i="1" s="1"/>
  <c r="F1135" i="1"/>
  <c r="G1135" i="1" s="1"/>
  <c r="F580" i="1"/>
  <c r="G580" i="1" s="1"/>
  <c r="F583" i="1"/>
  <c r="G583" i="1" s="1"/>
  <c r="F581" i="1"/>
  <c r="G581" i="1" s="1"/>
  <c r="F584" i="1"/>
  <c r="G584" i="1" s="1"/>
  <c r="F582" i="1"/>
  <c r="G582" i="1" s="1"/>
  <c r="F836" i="1"/>
  <c r="G836" i="1" s="1"/>
  <c r="F835" i="1"/>
  <c r="F632" i="1"/>
  <c r="G632" i="1" s="1"/>
  <c r="G630" i="1"/>
  <c r="F631" i="1"/>
  <c r="G631" i="1" s="1"/>
  <c r="F633" i="1"/>
  <c r="G633" i="1" s="1"/>
  <c r="G1127" i="1"/>
  <c r="F1129" i="1" s="1"/>
  <c r="G1129" i="1" s="1"/>
  <c r="F1128" i="1"/>
  <c r="G1128" i="1" s="1"/>
  <c r="F980" i="1"/>
  <c r="G980" i="1" s="1"/>
  <c r="F982" i="1" s="1"/>
  <c r="F981" i="1"/>
  <c r="G981" i="1" s="1"/>
  <c r="G682" i="1"/>
  <c r="F683" i="1"/>
  <c r="G929" i="1"/>
  <c r="F931" i="1" s="1"/>
  <c r="G931" i="1" s="1"/>
  <c r="F930" i="1"/>
  <c r="G930" i="1" s="1"/>
  <c r="F1032" i="1"/>
  <c r="G1032" i="1" s="1"/>
  <c r="F1033" i="1"/>
  <c r="G1033" i="1" s="1"/>
  <c r="G826" i="1"/>
  <c r="G827" i="1"/>
  <c r="F1179" i="1"/>
  <c r="G1179" i="1" s="1"/>
  <c r="F1180" i="1" s="1"/>
  <c r="F1178" i="1"/>
  <c r="G1178" i="1" s="1"/>
  <c r="F1176" i="1"/>
  <c r="G1176" i="1" s="1"/>
  <c r="F1226" i="1"/>
  <c r="G1226" i="1" s="1"/>
  <c r="F1227" i="1"/>
  <c r="G1227" i="1" s="1"/>
  <c r="F1229" i="1"/>
  <c r="G1229" i="1" s="1"/>
  <c r="F1177" i="1"/>
  <c r="G1177" i="1" s="1"/>
  <c r="F1183" i="1" s="1"/>
  <c r="G1183" i="1" s="1"/>
  <c r="F783" i="1"/>
  <c r="G781" i="1"/>
  <c r="F532" i="1"/>
  <c r="G532" i="1" s="1"/>
  <c r="F533" i="1"/>
  <c r="G533" i="1" s="1"/>
  <c r="G730" i="1"/>
  <c r="F732" i="1"/>
  <c r="G732" i="1" s="1"/>
  <c r="F735" i="1"/>
  <c r="F731" i="1"/>
  <c r="G731" i="1" s="1"/>
  <c r="F734" i="1"/>
  <c r="G734" i="1" s="1"/>
  <c r="F733" i="1"/>
  <c r="G733" i="1" s="1"/>
  <c r="F881" i="1"/>
  <c r="G882" i="1" s="1"/>
  <c r="F879" i="1"/>
  <c r="F884" i="1"/>
  <c r="G884" i="1" s="1"/>
  <c r="F885" i="1"/>
  <c r="G885" i="1" s="1"/>
  <c r="F882" i="1"/>
  <c r="F886" i="1"/>
  <c r="G886" i="1" s="1"/>
  <c r="F887" i="1" s="1"/>
  <c r="G887" i="1" s="1"/>
  <c r="F880" i="1"/>
  <c r="G881" i="1" s="1"/>
  <c r="F883" i="1"/>
  <c r="G883" i="1" s="1"/>
  <c r="F1084" i="1"/>
  <c r="G1084" i="1" s="1"/>
  <c r="F1083" i="1"/>
  <c r="G1083" i="1" s="1"/>
  <c r="G835" i="1" l="1"/>
  <c r="F837" i="1"/>
  <c r="G879" i="1"/>
  <c r="G880" i="1"/>
  <c r="F1185" i="1"/>
  <c r="G1185" i="1" s="1"/>
  <c r="F1188" i="1"/>
  <c r="G1188" i="1" s="1"/>
  <c r="F1184" i="1"/>
  <c r="G1184" i="1" s="1"/>
  <c r="F1187" i="1"/>
  <c r="G1187" i="1" s="1"/>
  <c r="F1186" i="1"/>
  <c r="G1186" i="1" s="1"/>
  <c r="F936" i="1"/>
  <c r="G936" i="1" s="1"/>
  <c r="F937" i="1"/>
  <c r="G937" i="1" s="1"/>
  <c r="F934" i="1"/>
  <c r="G935" i="1" s="1"/>
  <c r="F935" i="1"/>
  <c r="F938" i="1"/>
  <c r="G938" i="1" s="1"/>
  <c r="F932" i="1"/>
  <c r="F933" i="1"/>
  <c r="G934" i="1" s="1"/>
  <c r="F939" i="1"/>
  <c r="G939" i="1" s="1"/>
  <c r="F940" i="1" s="1"/>
  <c r="G940" i="1" s="1"/>
  <c r="F1280" i="1"/>
  <c r="G1280" i="1" s="1"/>
  <c r="F1282" i="1"/>
  <c r="G1282" i="1" s="1"/>
  <c r="F1281" i="1"/>
  <c r="G1281" i="1" s="1"/>
  <c r="F1231" i="1"/>
  <c r="G1231" i="1" s="1"/>
  <c r="F1237" i="1" s="1"/>
  <c r="G1237" i="1" s="1"/>
  <c r="F1232" i="1"/>
  <c r="G1232" i="1" s="1"/>
  <c r="F1230" i="1"/>
  <c r="G1230" i="1" s="1"/>
  <c r="F1233" i="1"/>
  <c r="G1233" i="1" s="1"/>
  <c r="F1234" i="1" s="1"/>
  <c r="F685" i="1"/>
  <c r="G685" i="1" s="1"/>
  <c r="F686" i="1"/>
  <c r="G686" i="1" s="1"/>
  <c r="F684" i="1"/>
  <c r="G684" i="1" s="1"/>
  <c r="G683" i="1"/>
  <c r="F786" i="1"/>
  <c r="G786" i="1" s="1"/>
  <c r="F787" i="1"/>
  <c r="G787" i="1" s="1"/>
  <c r="G783" i="1"/>
  <c r="F784" i="1"/>
  <c r="G784" i="1" s="1"/>
  <c r="F788" i="1"/>
  <c r="F785" i="1"/>
  <c r="G785" i="1" s="1"/>
  <c r="G982" i="1"/>
  <c r="F984" i="1" s="1"/>
  <c r="G984" i="1" s="1"/>
  <c r="F983" i="1"/>
  <c r="G983" i="1" s="1"/>
  <c r="G1180" i="1"/>
  <c r="F1182" i="1" s="1"/>
  <c r="G1182" i="1" s="1"/>
  <c r="F1181" i="1"/>
  <c r="G1181" i="1" s="1"/>
  <c r="F1085" i="1"/>
  <c r="G1085" i="1" s="1"/>
  <c r="F1086" i="1"/>
  <c r="G1086" i="1" s="1"/>
  <c r="F736" i="1"/>
  <c r="G735" i="1"/>
  <c r="F1136" i="1"/>
  <c r="G1136" i="1" s="1"/>
  <c r="F1137" i="1"/>
  <c r="G1137" i="1" s="1"/>
  <c r="F889" i="1"/>
  <c r="G889" i="1" s="1"/>
  <c r="F888" i="1"/>
  <c r="F1034" i="1"/>
  <c r="G1034" i="1" s="1"/>
  <c r="F1036" i="1" s="1"/>
  <c r="F1035" i="1"/>
  <c r="G1035" i="1" s="1"/>
  <c r="F585" i="1"/>
  <c r="G585" i="1" s="1"/>
  <c r="F586" i="1"/>
  <c r="G586" i="1" s="1"/>
  <c r="F638" i="1"/>
  <c r="G638" i="1" s="1"/>
  <c r="F637" i="1"/>
  <c r="G637" i="1" s="1"/>
  <c r="F634" i="1"/>
  <c r="G634" i="1" s="1"/>
  <c r="F636" i="1"/>
  <c r="G636" i="1" s="1"/>
  <c r="F635" i="1"/>
  <c r="G635" i="1" s="1"/>
  <c r="F1235" i="1" l="1"/>
  <c r="G1235" i="1" s="1"/>
  <c r="G1234" i="1"/>
  <c r="F1236" i="1" s="1"/>
  <c r="G1236" i="1" s="1"/>
  <c r="F1139" i="1"/>
  <c r="G1139" i="1" s="1"/>
  <c r="F1138" i="1"/>
  <c r="G1138" i="1" s="1"/>
  <c r="F992" i="1"/>
  <c r="G992" i="1" s="1"/>
  <c r="F993" i="1" s="1"/>
  <c r="G993" i="1" s="1"/>
  <c r="F985" i="1"/>
  <c r="F990" i="1"/>
  <c r="G990" i="1" s="1"/>
  <c r="F991" i="1"/>
  <c r="G991" i="1" s="1"/>
  <c r="F989" i="1"/>
  <c r="G989" i="1" s="1"/>
  <c r="F987" i="1"/>
  <c r="G988" i="1" s="1"/>
  <c r="F986" i="1"/>
  <c r="G987" i="1" s="1"/>
  <c r="F988" i="1"/>
  <c r="G788" i="1"/>
  <c r="F789" i="1"/>
  <c r="F1333" i="1"/>
  <c r="G1333" i="1" s="1"/>
  <c r="F1283" i="1"/>
  <c r="G1283" i="1" s="1"/>
  <c r="F1335" i="1"/>
  <c r="G1335" i="1" s="1"/>
  <c r="F1286" i="1"/>
  <c r="G1286" i="1" s="1"/>
  <c r="F1287" i="1" s="1"/>
  <c r="F1285" i="1"/>
  <c r="G1285" i="1" s="1"/>
  <c r="F1284" i="1"/>
  <c r="G1284" i="1" s="1"/>
  <c r="F1290" i="1" s="1"/>
  <c r="G1290" i="1" s="1"/>
  <c r="F1334" i="1"/>
  <c r="G1334" i="1" s="1"/>
  <c r="F639" i="1"/>
  <c r="G639" i="1" s="1"/>
  <c r="F640" i="1"/>
  <c r="G640" i="1" s="1"/>
  <c r="F890" i="1"/>
  <c r="G888" i="1"/>
  <c r="F942" i="1"/>
  <c r="G942" i="1" s="1"/>
  <c r="F941" i="1"/>
  <c r="G933" i="1"/>
  <c r="G932" i="1"/>
  <c r="F842" i="1"/>
  <c r="F839" i="1"/>
  <c r="G839" i="1" s="1"/>
  <c r="G837" i="1"/>
  <c r="F838" i="1"/>
  <c r="G838" i="1" s="1"/>
  <c r="F840" i="1"/>
  <c r="G840" i="1" s="1"/>
  <c r="F841" i="1"/>
  <c r="G841" i="1" s="1"/>
  <c r="G1036" i="1"/>
  <c r="F1038" i="1" s="1"/>
  <c r="G1038" i="1" s="1"/>
  <c r="F1037" i="1"/>
  <c r="G1037" i="1" s="1"/>
  <c r="F1240" i="1"/>
  <c r="G1240" i="1" s="1"/>
  <c r="F1238" i="1"/>
  <c r="G1238" i="1" s="1"/>
  <c r="F1241" i="1"/>
  <c r="G1241" i="1" s="1"/>
  <c r="F1239" i="1"/>
  <c r="G1239" i="1" s="1"/>
  <c r="F1242" i="1"/>
  <c r="G1242" i="1" s="1"/>
  <c r="F1190" i="1"/>
  <c r="G1190" i="1" s="1"/>
  <c r="F1189" i="1"/>
  <c r="G1189" i="1" s="1"/>
  <c r="G736" i="1"/>
  <c r="F738" i="1"/>
  <c r="G738" i="1" s="1"/>
  <c r="F737" i="1"/>
  <c r="G737" i="1" s="1"/>
  <c r="F739" i="1"/>
  <c r="G739" i="1" s="1"/>
  <c r="F1088" i="1"/>
  <c r="G1088" i="1" s="1"/>
  <c r="F1087" i="1"/>
  <c r="G1087" i="1" s="1"/>
  <c r="F1089" i="1" s="1"/>
  <c r="F688" i="1"/>
  <c r="G688" i="1" s="1"/>
  <c r="F687" i="1"/>
  <c r="G687" i="1" s="1"/>
  <c r="F690" i="1"/>
  <c r="G690" i="1" s="1"/>
  <c r="F689" i="1"/>
  <c r="G689" i="1" s="1"/>
  <c r="F691" i="1"/>
  <c r="G691" i="1" s="1"/>
  <c r="F1292" i="1" l="1"/>
  <c r="G1292" i="1" s="1"/>
  <c r="F1293" i="1"/>
  <c r="G1293" i="1" s="1"/>
  <c r="F1294" i="1"/>
  <c r="G1294" i="1" s="1"/>
  <c r="F1291" i="1"/>
  <c r="G1291" i="1" s="1"/>
  <c r="F1295" i="1"/>
  <c r="G1295" i="1" s="1"/>
  <c r="F843" i="1"/>
  <c r="G842" i="1"/>
  <c r="F994" i="1"/>
  <c r="F995" i="1"/>
  <c r="G995" i="1" s="1"/>
  <c r="F894" i="1"/>
  <c r="G894" i="1" s="1"/>
  <c r="F891" i="1"/>
  <c r="G891" i="1" s="1"/>
  <c r="F892" i="1"/>
  <c r="G892" i="1" s="1"/>
  <c r="F893" i="1"/>
  <c r="G893" i="1" s="1"/>
  <c r="G890" i="1"/>
  <c r="F895" i="1"/>
  <c r="F1192" i="1"/>
  <c r="G1192" i="1" s="1"/>
  <c r="F1191" i="1"/>
  <c r="G1191" i="1" s="1"/>
  <c r="F1043" i="1"/>
  <c r="G1043" i="1" s="1"/>
  <c r="F1046" i="1"/>
  <c r="G1046" i="1" s="1"/>
  <c r="F1047" i="1" s="1"/>
  <c r="G1047" i="1" s="1"/>
  <c r="F1044" i="1"/>
  <c r="G1044" i="1" s="1"/>
  <c r="F1042" i="1"/>
  <c r="F1041" i="1"/>
  <c r="G1042" i="1" s="1"/>
  <c r="F1040" i="1"/>
  <c r="G1041" i="1" s="1"/>
  <c r="F1039" i="1"/>
  <c r="F1045" i="1"/>
  <c r="G1045" i="1" s="1"/>
  <c r="F740" i="1"/>
  <c r="G740" i="1" s="1"/>
  <c r="F741" i="1"/>
  <c r="G741" i="1" s="1"/>
  <c r="F742" i="1"/>
  <c r="G742" i="1" s="1"/>
  <c r="F744" i="1"/>
  <c r="G744" i="1" s="1"/>
  <c r="F743" i="1"/>
  <c r="G743" i="1" s="1"/>
  <c r="F1244" i="1"/>
  <c r="G1244" i="1" s="1"/>
  <c r="F1243" i="1"/>
  <c r="G1243" i="1" s="1"/>
  <c r="G985" i="1"/>
  <c r="G986" i="1"/>
  <c r="G941" i="1"/>
  <c r="F943" i="1"/>
  <c r="F1140" i="1"/>
  <c r="G1140" i="1" s="1"/>
  <c r="F1142" i="1" s="1"/>
  <c r="F1141" i="1"/>
  <c r="G1141" i="1" s="1"/>
  <c r="F692" i="1"/>
  <c r="G692" i="1" s="1"/>
  <c r="F693" i="1"/>
  <c r="G693" i="1" s="1"/>
  <c r="G789" i="1"/>
  <c r="F790" i="1"/>
  <c r="G790" i="1" s="1"/>
  <c r="F792" i="1"/>
  <c r="G792" i="1" s="1"/>
  <c r="F791" i="1"/>
  <c r="G791" i="1" s="1"/>
  <c r="F1288" i="1"/>
  <c r="G1288" i="1" s="1"/>
  <c r="G1287" i="1"/>
  <c r="F1289" i="1" s="1"/>
  <c r="G1289" i="1" s="1"/>
  <c r="F1337" i="1"/>
  <c r="G1337" i="1" s="1"/>
  <c r="F1343" i="1" s="1"/>
  <c r="G1343" i="1" s="1"/>
  <c r="F1387" i="1"/>
  <c r="G1387" i="1" s="1"/>
  <c r="F1441" i="1" s="1"/>
  <c r="G1441" i="1" s="1"/>
  <c r="F1336" i="1"/>
  <c r="G1336" i="1" s="1"/>
  <c r="F1339" i="1"/>
  <c r="G1339" i="1" s="1"/>
  <c r="F1340" i="1" s="1"/>
  <c r="F1338" i="1"/>
  <c r="G1338" i="1" s="1"/>
  <c r="F1386" i="1"/>
  <c r="G1386" i="1" s="1"/>
  <c r="F1388" i="1"/>
  <c r="G1388" i="1" s="1"/>
  <c r="G1089" i="1"/>
  <c r="F1091" i="1" s="1"/>
  <c r="G1091" i="1" s="1"/>
  <c r="F1090" i="1"/>
  <c r="G1090" i="1" s="1"/>
  <c r="G1039" i="1" l="1"/>
  <c r="G1040" i="1"/>
  <c r="F1048" i="1"/>
  <c r="F1049" i="1"/>
  <c r="G1049" i="1" s="1"/>
  <c r="F746" i="1"/>
  <c r="G746" i="1" s="1"/>
  <c r="F745" i="1"/>
  <c r="G745" i="1" s="1"/>
  <c r="F1297" i="1"/>
  <c r="G1297" i="1" s="1"/>
  <c r="F1296" i="1"/>
  <c r="G1296" i="1" s="1"/>
  <c r="F1346" i="1"/>
  <c r="G1346" i="1" s="1"/>
  <c r="F1345" i="1"/>
  <c r="G1345" i="1" s="1"/>
  <c r="F1348" i="1"/>
  <c r="G1348" i="1" s="1"/>
  <c r="F1347" i="1"/>
  <c r="G1347" i="1" s="1"/>
  <c r="F1344" i="1"/>
  <c r="G1344" i="1" s="1"/>
  <c r="F1193" i="1"/>
  <c r="G1193" i="1" s="1"/>
  <c r="F1195" i="1" s="1"/>
  <c r="F1194" i="1"/>
  <c r="G1194" i="1" s="1"/>
  <c r="F945" i="1"/>
  <c r="G945" i="1" s="1"/>
  <c r="F948" i="1"/>
  <c r="F946" i="1"/>
  <c r="G946" i="1" s="1"/>
  <c r="G943" i="1"/>
  <c r="F944" i="1"/>
  <c r="G944" i="1" s="1"/>
  <c r="F947" i="1"/>
  <c r="G947" i="1" s="1"/>
  <c r="F795" i="1"/>
  <c r="G795" i="1" s="1"/>
  <c r="F797" i="1"/>
  <c r="G797" i="1" s="1"/>
  <c r="F796" i="1"/>
  <c r="G796" i="1" s="1"/>
  <c r="F794" i="1"/>
  <c r="G794" i="1" s="1"/>
  <c r="F793" i="1"/>
  <c r="G793" i="1" s="1"/>
  <c r="F844" i="1"/>
  <c r="G844" i="1" s="1"/>
  <c r="F845" i="1"/>
  <c r="G845" i="1" s="1"/>
  <c r="F846" i="1"/>
  <c r="G846" i="1" s="1"/>
  <c r="G843" i="1"/>
  <c r="G895" i="1"/>
  <c r="F896" i="1"/>
  <c r="G994" i="1"/>
  <c r="F996" i="1"/>
  <c r="F1095" i="1"/>
  <c r="F1093" i="1"/>
  <c r="G1094" i="1" s="1"/>
  <c r="F1092" i="1"/>
  <c r="F1097" i="1"/>
  <c r="G1097" i="1" s="1"/>
  <c r="F1099" i="1"/>
  <c r="G1099" i="1" s="1"/>
  <c r="F1100" i="1" s="1"/>
  <c r="G1100" i="1" s="1"/>
  <c r="F1098" i="1"/>
  <c r="G1098" i="1" s="1"/>
  <c r="F1094" i="1"/>
  <c r="G1095" i="1" s="1"/>
  <c r="F1096" i="1"/>
  <c r="G1096" i="1" s="1"/>
  <c r="F1341" i="1"/>
  <c r="G1341" i="1" s="1"/>
  <c r="G1340" i="1"/>
  <c r="F1342" i="1" s="1"/>
  <c r="G1342" i="1" s="1"/>
  <c r="F1246" i="1"/>
  <c r="G1246" i="1" s="1"/>
  <c r="F1245" i="1"/>
  <c r="G1245" i="1" s="1"/>
  <c r="F1392" i="1"/>
  <c r="G1392" i="1" s="1"/>
  <c r="F1393" i="1" s="1"/>
  <c r="F1439" i="1"/>
  <c r="G1439" i="1" s="1"/>
  <c r="F1390" i="1"/>
  <c r="G1390" i="1" s="1"/>
  <c r="F1396" i="1" s="1"/>
  <c r="G1396" i="1" s="1"/>
  <c r="F1389" i="1"/>
  <c r="G1389" i="1" s="1"/>
  <c r="F1442" i="1"/>
  <c r="G1442" i="1" s="1"/>
  <c r="F1391" i="1"/>
  <c r="G1391" i="1" s="1"/>
  <c r="F1440" i="1"/>
  <c r="G1440" i="1" s="1"/>
  <c r="F1143" i="1"/>
  <c r="G1143" i="1" s="1"/>
  <c r="G1142" i="1"/>
  <c r="F1144" i="1" s="1"/>
  <c r="G1144" i="1" s="1"/>
  <c r="F1349" i="1" l="1"/>
  <c r="G1349" i="1" s="1"/>
  <c r="F1350" i="1"/>
  <c r="G1350" i="1" s="1"/>
  <c r="F999" i="1"/>
  <c r="G999" i="1" s="1"/>
  <c r="F1001" i="1"/>
  <c r="F998" i="1"/>
  <c r="G998" i="1" s="1"/>
  <c r="F997" i="1"/>
  <c r="G997" i="1" s="1"/>
  <c r="G996" i="1"/>
  <c r="F1000" i="1"/>
  <c r="G1000" i="1" s="1"/>
  <c r="F1248" i="1"/>
  <c r="G1248" i="1" s="1"/>
  <c r="F1247" i="1"/>
  <c r="G1247" i="1" s="1"/>
  <c r="F1249" i="1" s="1"/>
  <c r="F899" i="1"/>
  <c r="G899" i="1" s="1"/>
  <c r="F898" i="1"/>
  <c r="G898" i="1" s="1"/>
  <c r="G896" i="1"/>
  <c r="F897" i="1"/>
  <c r="G897" i="1" s="1"/>
  <c r="F1151" i="1"/>
  <c r="G1151" i="1" s="1"/>
  <c r="F1152" i="1"/>
  <c r="G1152" i="1" s="1"/>
  <c r="F1153" i="1" s="1"/>
  <c r="G1153" i="1" s="1"/>
  <c r="F1145" i="1"/>
  <c r="F1149" i="1"/>
  <c r="G1149" i="1" s="1"/>
  <c r="F1150" i="1"/>
  <c r="G1150" i="1" s="1"/>
  <c r="F1148" i="1"/>
  <c r="F1147" i="1"/>
  <c r="G1148" i="1" s="1"/>
  <c r="F1146" i="1"/>
  <c r="G1147" i="1" s="1"/>
  <c r="G948" i="1"/>
  <c r="F949" i="1"/>
  <c r="F1101" i="1"/>
  <c r="F1102" i="1"/>
  <c r="G1102" i="1" s="1"/>
  <c r="G1048" i="1"/>
  <c r="F1050" i="1"/>
  <c r="G1195" i="1"/>
  <c r="F1197" i="1" s="1"/>
  <c r="G1197" i="1" s="1"/>
  <c r="F1196" i="1"/>
  <c r="G1196" i="1" s="1"/>
  <c r="F799" i="1"/>
  <c r="G799" i="1" s="1"/>
  <c r="F798" i="1"/>
  <c r="G798" i="1" s="1"/>
  <c r="F1394" i="1"/>
  <c r="G1394" i="1" s="1"/>
  <c r="G1393" i="1"/>
  <c r="F1395" i="1" s="1"/>
  <c r="G1395" i="1" s="1"/>
  <c r="F1298" i="1"/>
  <c r="G1298" i="1" s="1"/>
  <c r="F1299" i="1"/>
  <c r="G1299" i="1" s="1"/>
  <c r="F851" i="1"/>
  <c r="G851" i="1" s="1"/>
  <c r="F847" i="1"/>
  <c r="G847" i="1" s="1"/>
  <c r="F850" i="1"/>
  <c r="G850" i="1" s="1"/>
  <c r="F848" i="1"/>
  <c r="G848" i="1" s="1"/>
  <c r="F849" i="1"/>
  <c r="G849" i="1" s="1"/>
  <c r="F1495" i="1"/>
  <c r="G1495" i="1" s="1"/>
  <c r="F1494" i="1"/>
  <c r="G1494" i="1" s="1"/>
  <c r="F1493" i="1"/>
  <c r="G1493" i="1" s="1"/>
  <c r="F1444" i="1"/>
  <c r="G1444" i="1" s="1"/>
  <c r="F1450" i="1" s="1"/>
  <c r="G1450" i="1" s="1"/>
  <c r="F1446" i="1"/>
  <c r="G1446" i="1" s="1"/>
  <c r="F1447" i="1" s="1"/>
  <c r="F1445" i="1"/>
  <c r="G1445" i="1" s="1"/>
  <c r="F1443" i="1"/>
  <c r="G1443" i="1" s="1"/>
  <c r="F1397" i="1"/>
  <c r="G1397" i="1" s="1"/>
  <c r="F1401" i="1"/>
  <c r="G1401" i="1" s="1"/>
  <c r="F1400" i="1"/>
  <c r="G1400" i="1" s="1"/>
  <c r="F1398" i="1"/>
  <c r="G1398" i="1" s="1"/>
  <c r="F1399" i="1"/>
  <c r="G1399" i="1" s="1"/>
  <c r="G1093" i="1"/>
  <c r="G1092" i="1"/>
  <c r="F1301" i="1" l="1"/>
  <c r="G1301" i="1" s="1"/>
  <c r="F1300" i="1"/>
  <c r="G1300" i="1" s="1"/>
  <c r="F1302" i="1" s="1"/>
  <c r="G1249" i="1"/>
  <c r="F1251" i="1" s="1"/>
  <c r="G1251" i="1" s="1"/>
  <c r="F1250" i="1"/>
  <c r="G1250" i="1" s="1"/>
  <c r="F1548" i="1"/>
  <c r="G1548" i="1" s="1"/>
  <c r="F1547" i="1"/>
  <c r="G1547" i="1" s="1"/>
  <c r="F1546" i="1"/>
  <c r="G1546" i="1" s="1"/>
  <c r="F1499" i="1"/>
  <c r="G1499" i="1" s="1"/>
  <c r="F1500" i="1" s="1"/>
  <c r="F1498" i="1"/>
  <c r="G1498" i="1" s="1"/>
  <c r="F1497" i="1"/>
  <c r="G1497" i="1" s="1"/>
  <c r="F1503" i="1" s="1"/>
  <c r="G1503" i="1" s="1"/>
  <c r="F1496" i="1"/>
  <c r="G1496" i="1" s="1"/>
  <c r="F1154" i="1"/>
  <c r="F1155" i="1"/>
  <c r="G1155" i="1" s="1"/>
  <c r="G1001" i="1"/>
  <c r="F1002" i="1"/>
  <c r="F952" i="1"/>
  <c r="G952" i="1" s="1"/>
  <c r="F951" i="1"/>
  <c r="G951" i="1" s="1"/>
  <c r="G949" i="1"/>
  <c r="F950" i="1"/>
  <c r="G950" i="1" s="1"/>
  <c r="G1447" i="1"/>
  <c r="F1449" i="1" s="1"/>
  <c r="G1449" i="1" s="1"/>
  <c r="F1448" i="1"/>
  <c r="G1448" i="1" s="1"/>
  <c r="F1199" i="1"/>
  <c r="G1200" i="1" s="1"/>
  <c r="F1200" i="1"/>
  <c r="G1201" i="1" s="1"/>
  <c r="F1203" i="1"/>
  <c r="G1203" i="1" s="1"/>
  <c r="F1201" i="1"/>
  <c r="F1205" i="1"/>
  <c r="G1205" i="1" s="1"/>
  <c r="F1206" i="1" s="1"/>
  <c r="G1206" i="1" s="1"/>
  <c r="F1202" i="1"/>
  <c r="G1202" i="1" s="1"/>
  <c r="F1204" i="1"/>
  <c r="G1204" i="1" s="1"/>
  <c r="F1198" i="1"/>
  <c r="F1054" i="1"/>
  <c r="G1054" i="1" s="1"/>
  <c r="F1052" i="1"/>
  <c r="G1052" i="1" s="1"/>
  <c r="G1050" i="1"/>
  <c r="F1055" i="1"/>
  <c r="F1053" i="1"/>
  <c r="G1053" i="1" s="1"/>
  <c r="F1051" i="1"/>
  <c r="G1051" i="1" s="1"/>
  <c r="F853" i="1"/>
  <c r="G853" i="1" s="1"/>
  <c r="F852" i="1"/>
  <c r="G852" i="1" s="1"/>
  <c r="F902" i="1"/>
  <c r="G902" i="1" s="1"/>
  <c r="F901" i="1"/>
  <c r="G901" i="1" s="1"/>
  <c r="F900" i="1"/>
  <c r="G900" i="1" s="1"/>
  <c r="F903" i="1"/>
  <c r="G903" i="1" s="1"/>
  <c r="F904" i="1"/>
  <c r="G904" i="1" s="1"/>
  <c r="F1451" i="1"/>
  <c r="G1451" i="1" s="1"/>
  <c r="F1452" i="1"/>
  <c r="G1452" i="1" s="1"/>
  <c r="F1455" i="1"/>
  <c r="G1455" i="1" s="1"/>
  <c r="F1454" i="1"/>
  <c r="G1454" i="1" s="1"/>
  <c r="F1453" i="1"/>
  <c r="G1453" i="1" s="1"/>
  <c r="G1146" i="1"/>
  <c r="G1145" i="1"/>
  <c r="F1402" i="1"/>
  <c r="G1402" i="1" s="1"/>
  <c r="F1403" i="1"/>
  <c r="G1403" i="1" s="1"/>
  <c r="F1103" i="1"/>
  <c r="G1101" i="1"/>
  <c r="F1352" i="1"/>
  <c r="G1352" i="1" s="1"/>
  <c r="F1351" i="1"/>
  <c r="G1351" i="1" s="1"/>
  <c r="F1456" i="1" l="1"/>
  <c r="G1456" i="1" s="1"/>
  <c r="F1457" i="1"/>
  <c r="G1457" i="1" s="1"/>
  <c r="F906" i="1"/>
  <c r="G906" i="1" s="1"/>
  <c r="F905" i="1"/>
  <c r="G905" i="1" s="1"/>
  <c r="G1199" i="1"/>
  <c r="G1198" i="1"/>
  <c r="F1108" i="1"/>
  <c r="F1107" i="1"/>
  <c r="G1107" i="1" s="1"/>
  <c r="G1103" i="1"/>
  <c r="F1106" i="1"/>
  <c r="G1106" i="1" s="1"/>
  <c r="F1105" i="1"/>
  <c r="G1105" i="1" s="1"/>
  <c r="F1104" i="1"/>
  <c r="G1104" i="1" s="1"/>
  <c r="F1003" i="1"/>
  <c r="G1003" i="1" s="1"/>
  <c r="F1005" i="1"/>
  <c r="G1005" i="1" s="1"/>
  <c r="G1002" i="1"/>
  <c r="F1004" i="1"/>
  <c r="G1004" i="1" s="1"/>
  <c r="F1254" i="1"/>
  <c r="G1255" i="1" s="1"/>
  <c r="F1259" i="1"/>
  <c r="G1259" i="1" s="1"/>
  <c r="F1260" i="1" s="1"/>
  <c r="G1260" i="1" s="1"/>
  <c r="F1252" i="1"/>
  <c r="F1253" i="1"/>
  <c r="G1254" i="1" s="1"/>
  <c r="F1255" i="1"/>
  <c r="F1257" i="1"/>
  <c r="G1257" i="1" s="1"/>
  <c r="F1256" i="1"/>
  <c r="G1256" i="1" s="1"/>
  <c r="F1258" i="1"/>
  <c r="G1258" i="1" s="1"/>
  <c r="F953" i="1"/>
  <c r="G953" i="1" s="1"/>
  <c r="F955" i="1"/>
  <c r="G955" i="1" s="1"/>
  <c r="F954" i="1"/>
  <c r="G954" i="1" s="1"/>
  <c r="F956" i="1"/>
  <c r="G956" i="1" s="1"/>
  <c r="F957" i="1"/>
  <c r="G957" i="1" s="1"/>
  <c r="F1405" i="1"/>
  <c r="G1405" i="1" s="1"/>
  <c r="F1404" i="1"/>
  <c r="G1404" i="1" s="1"/>
  <c r="F1208" i="1"/>
  <c r="G1208" i="1" s="1"/>
  <c r="F1207" i="1"/>
  <c r="F1303" i="1"/>
  <c r="G1303" i="1" s="1"/>
  <c r="G1302" i="1"/>
  <c r="F1304" i="1" s="1"/>
  <c r="G1304" i="1" s="1"/>
  <c r="G1154" i="1"/>
  <c r="F1156" i="1"/>
  <c r="F1507" i="1"/>
  <c r="G1507" i="1" s="1"/>
  <c r="F1504" i="1"/>
  <c r="G1504" i="1" s="1"/>
  <c r="F1506" i="1"/>
  <c r="G1506" i="1" s="1"/>
  <c r="F1508" i="1"/>
  <c r="G1508" i="1" s="1"/>
  <c r="F1505" i="1"/>
  <c r="G1505" i="1" s="1"/>
  <c r="F1056" i="1"/>
  <c r="G1055" i="1"/>
  <c r="F1501" i="1"/>
  <c r="G1501" i="1" s="1"/>
  <c r="G1500" i="1"/>
  <c r="F1502" i="1" s="1"/>
  <c r="G1502" i="1" s="1"/>
  <c r="F1353" i="1"/>
  <c r="G1353" i="1" s="1"/>
  <c r="F1355" i="1" s="1"/>
  <c r="F1354" i="1"/>
  <c r="G1354" i="1" s="1"/>
  <c r="F1552" i="1"/>
  <c r="G1552" i="1" s="1"/>
  <c r="F1553" i="1" s="1"/>
  <c r="F1600" i="1"/>
  <c r="G1600" i="1" s="1"/>
  <c r="F1654" i="1" s="1"/>
  <c r="G1654" i="1" s="1"/>
  <c r="F1550" i="1"/>
  <c r="G1550" i="1" s="1"/>
  <c r="F1556" i="1" s="1"/>
  <c r="G1556" i="1" s="1"/>
  <c r="F1551" i="1"/>
  <c r="G1551" i="1" s="1"/>
  <c r="F1601" i="1"/>
  <c r="G1601" i="1" s="1"/>
  <c r="F1599" i="1"/>
  <c r="G1599" i="1" s="1"/>
  <c r="F1549" i="1"/>
  <c r="G1549" i="1" s="1"/>
  <c r="G1056" i="1" l="1"/>
  <c r="F1059" i="1"/>
  <c r="G1059" i="1" s="1"/>
  <c r="F1058" i="1"/>
  <c r="G1058" i="1" s="1"/>
  <c r="F1057" i="1"/>
  <c r="G1057" i="1" s="1"/>
  <c r="G1253" i="1"/>
  <c r="G1252" i="1"/>
  <c r="F1653" i="1"/>
  <c r="G1653" i="1" s="1"/>
  <c r="F1602" i="1"/>
  <c r="G1602" i="1" s="1"/>
  <c r="F1603" i="1"/>
  <c r="G1603" i="1" s="1"/>
  <c r="F1609" i="1" s="1"/>
  <c r="G1609" i="1" s="1"/>
  <c r="F1652" i="1"/>
  <c r="G1652" i="1" s="1"/>
  <c r="F1605" i="1"/>
  <c r="G1605" i="1" s="1"/>
  <c r="F1606" i="1" s="1"/>
  <c r="F1655" i="1"/>
  <c r="G1655" i="1" s="1"/>
  <c r="F1604" i="1"/>
  <c r="G1604" i="1" s="1"/>
  <c r="F959" i="1"/>
  <c r="G959" i="1" s="1"/>
  <c r="F958" i="1"/>
  <c r="G958" i="1" s="1"/>
  <c r="F1006" i="1"/>
  <c r="G1006" i="1" s="1"/>
  <c r="F1010" i="1"/>
  <c r="G1010" i="1" s="1"/>
  <c r="F1009" i="1"/>
  <c r="G1009" i="1" s="1"/>
  <c r="F1008" i="1"/>
  <c r="G1008" i="1" s="1"/>
  <c r="F1007" i="1"/>
  <c r="G1007" i="1" s="1"/>
  <c r="F1310" i="1"/>
  <c r="G1310" i="1" s="1"/>
  <c r="F1307" i="1"/>
  <c r="G1308" i="1" s="1"/>
  <c r="F1306" i="1"/>
  <c r="G1307" i="1" s="1"/>
  <c r="F1308" i="1"/>
  <c r="F1305" i="1"/>
  <c r="F1311" i="1"/>
  <c r="G1311" i="1" s="1"/>
  <c r="F1312" i="1"/>
  <c r="G1312" i="1" s="1"/>
  <c r="F1313" i="1" s="1"/>
  <c r="G1313" i="1" s="1"/>
  <c r="F1309" i="1"/>
  <c r="G1309" i="1" s="1"/>
  <c r="F1109" i="1"/>
  <c r="G1108" i="1"/>
  <c r="F1406" i="1"/>
  <c r="G1406" i="1" s="1"/>
  <c r="F1408" i="1" s="1"/>
  <c r="F1407" i="1"/>
  <c r="G1407" i="1" s="1"/>
  <c r="F1356" i="1"/>
  <c r="G1356" i="1" s="1"/>
  <c r="G1355" i="1"/>
  <c r="F1357" i="1" s="1"/>
  <c r="G1357" i="1" s="1"/>
  <c r="F1509" i="1"/>
  <c r="G1509" i="1" s="1"/>
  <c r="F1510" i="1"/>
  <c r="G1510" i="1" s="1"/>
  <c r="F1561" i="1"/>
  <c r="G1561" i="1" s="1"/>
  <c r="F1560" i="1"/>
  <c r="G1560" i="1" s="1"/>
  <c r="F1559" i="1"/>
  <c r="G1559" i="1" s="1"/>
  <c r="F1557" i="1"/>
  <c r="G1557" i="1" s="1"/>
  <c r="F1558" i="1"/>
  <c r="G1558" i="1" s="1"/>
  <c r="F1209" i="1"/>
  <c r="G1207" i="1"/>
  <c r="F1262" i="1"/>
  <c r="G1262" i="1" s="1"/>
  <c r="F1261" i="1"/>
  <c r="F1554" i="1"/>
  <c r="G1554" i="1" s="1"/>
  <c r="G1553" i="1"/>
  <c r="F1555" i="1" s="1"/>
  <c r="G1555" i="1" s="1"/>
  <c r="F1160" i="1"/>
  <c r="G1160" i="1" s="1"/>
  <c r="F1159" i="1"/>
  <c r="G1159" i="1" s="1"/>
  <c r="F1157" i="1"/>
  <c r="G1157" i="1" s="1"/>
  <c r="F1161" i="1"/>
  <c r="F1158" i="1"/>
  <c r="G1158" i="1" s="1"/>
  <c r="G1156" i="1"/>
  <c r="F1459" i="1"/>
  <c r="G1459" i="1" s="1"/>
  <c r="F1458" i="1"/>
  <c r="G1458" i="1" s="1"/>
  <c r="F1607" i="1" l="1"/>
  <c r="G1607" i="1" s="1"/>
  <c r="G1606" i="1"/>
  <c r="F1608" i="1" s="1"/>
  <c r="G1608" i="1" s="1"/>
  <c r="F1409" i="1"/>
  <c r="G1409" i="1" s="1"/>
  <c r="G1408" i="1"/>
  <c r="F1410" i="1" s="1"/>
  <c r="G1410" i="1" s="1"/>
  <c r="F1511" i="1"/>
  <c r="G1511" i="1" s="1"/>
  <c r="F1512" i="1"/>
  <c r="G1512" i="1" s="1"/>
  <c r="F1012" i="1"/>
  <c r="G1012" i="1" s="1"/>
  <c r="F1011" i="1"/>
  <c r="G1011" i="1" s="1"/>
  <c r="F1112" i="1"/>
  <c r="G1112" i="1" s="1"/>
  <c r="F1111" i="1"/>
  <c r="G1111" i="1" s="1"/>
  <c r="F1110" i="1"/>
  <c r="G1110" i="1" s="1"/>
  <c r="G1109" i="1"/>
  <c r="F1613" i="1"/>
  <c r="G1613" i="1" s="1"/>
  <c r="F1610" i="1"/>
  <c r="G1610" i="1" s="1"/>
  <c r="F1614" i="1"/>
  <c r="G1614" i="1" s="1"/>
  <c r="F1612" i="1"/>
  <c r="G1612" i="1" s="1"/>
  <c r="F1611" i="1"/>
  <c r="G1611" i="1" s="1"/>
  <c r="F1314" i="1"/>
  <c r="F1315" i="1"/>
  <c r="G1315" i="1" s="1"/>
  <c r="F1061" i="1"/>
  <c r="G1061" i="1" s="1"/>
  <c r="F1060" i="1"/>
  <c r="G1060" i="1" s="1"/>
  <c r="F1064" i="1"/>
  <c r="G1064" i="1" s="1"/>
  <c r="F1062" i="1"/>
  <c r="G1062" i="1" s="1"/>
  <c r="F1063" i="1"/>
  <c r="G1063" i="1" s="1"/>
  <c r="F1362" i="1"/>
  <c r="G1362" i="1" s="1"/>
  <c r="F1361" i="1"/>
  <c r="F1365" i="1"/>
  <c r="G1365" i="1" s="1"/>
  <c r="F1366" i="1" s="1"/>
  <c r="G1366" i="1" s="1"/>
  <c r="F1360" i="1"/>
  <c r="G1361" i="1" s="1"/>
  <c r="F1359" i="1"/>
  <c r="G1360" i="1" s="1"/>
  <c r="F1364" i="1"/>
  <c r="G1364" i="1" s="1"/>
  <c r="F1358" i="1"/>
  <c r="F1363" i="1"/>
  <c r="G1363" i="1" s="1"/>
  <c r="F1210" i="1"/>
  <c r="G1210" i="1" s="1"/>
  <c r="F1213" i="1"/>
  <c r="G1213" i="1" s="1"/>
  <c r="F1214" i="1"/>
  <c r="F1212" i="1"/>
  <c r="G1212" i="1" s="1"/>
  <c r="F1211" i="1"/>
  <c r="G1211" i="1" s="1"/>
  <c r="G1209" i="1"/>
  <c r="F1657" i="1"/>
  <c r="G1657" i="1" s="1"/>
  <c r="F1663" i="1" s="1"/>
  <c r="G1663" i="1" s="1"/>
  <c r="F1658" i="1"/>
  <c r="G1658" i="1" s="1"/>
  <c r="F1656" i="1"/>
  <c r="G1656" i="1" s="1"/>
  <c r="F1659" i="1"/>
  <c r="G1659" i="1" s="1"/>
  <c r="F1660" i="1" s="1"/>
  <c r="G1261" i="1"/>
  <c r="F1263" i="1"/>
  <c r="F1461" i="1"/>
  <c r="G1461" i="1" s="1"/>
  <c r="F1460" i="1"/>
  <c r="G1460" i="1" s="1"/>
  <c r="F1462" i="1" s="1"/>
  <c r="F1162" i="1"/>
  <c r="G1161" i="1"/>
  <c r="F1563" i="1"/>
  <c r="G1563" i="1" s="1"/>
  <c r="F1562" i="1"/>
  <c r="G1562" i="1" s="1"/>
  <c r="G1305" i="1"/>
  <c r="G1306" i="1"/>
  <c r="F1661" i="1" l="1"/>
  <c r="G1661" i="1" s="1"/>
  <c r="G1660" i="1"/>
  <c r="F1662" i="1" s="1"/>
  <c r="G1662" i="1" s="1"/>
  <c r="G1314" i="1"/>
  <c r="F1316" i="1"/>
  <c r="F1415" i="1"/>
  <c r="G1415" i="1" s="1"/>
  <c r="F1412" i="1"/>
  <c r="G1413" i="1" s="1"/>
  <c r="F1411" i="1"/>
  <c r="F1418" i="1"/>
  <c r="G1418" i="1" s="1"/>
  <c r="F1419" i="1" s="1"/>
  <c r="G1419" i="1" s="1"/>
  <c r="F1414" i="1"/>
  <c r="F1417" i="1"/>
  <c r="G1417" i="1" s="1"/>
  <c r="F1416" i="1"/>
  <c r="G1416" i="1" s="1"/>
  <c r="F1413" i="1"/>
  <c r="G1414" i="1" s="1"/>
  <c r="F1163" i="1"/>
  <c r="G1163" i="1" s="1"/>
  <c r="F1165" i="1"/>
  <c r="G1165" i="1" s="1"/>
  <c r="G1162" i="1"/>
  <c r="F1164" i="1"/>
  <c r="G1164" i="1" s="1"/>
  <c r="F1368" i="1"/>
  <c r="G1368" i="1" s="1"/>
  <c r="F1367" i="1"/>
  <c r="F1615" i="1"/>
  <c r="G1615" i="1" s="1"/>
  <c r="F1616" i="1"/>
  <c r="G1616" i="1" s="1"/>
  <c r="G1462" i="1"/>
  <c r="F1464" i="1" s="1"/>
  <c r="G1464" i="1" s="1"/>
  <c r="F1463" i="1"/>
  <c r="G1463" i="1" s="1"/>
  <c r="G1359" i="1"/>
  <c r="G1358" i="1"/>
  <c r="F1664" i="1"/>
  <c r="G1664" i="1" s="1"/>
  <c r="F1668" i="1"/>
  <c r="G1668" i="1" s="1"/>
  <c r="F1665" i="1"/>
  <c r="G1665" i="1" s="1"/>
  <c r="F1667" i="1"/>
  <c r="G1667" i="1" s="1"/>
  <c r="F1666" i="1"/>
  <c r="G1666" i="1" s="1"/>
  <c r="F1564" i="1"/>
  <c r="G1564" i="1" s="1"/>
  <c r="F1565" i="1"/>
  <c r="G1565" i="1" s="1"/>
  <c r="F1065" i="1"/>
  <c r="G1065" i="1" s="1"/>
  <c r="F1066" i="1"/>
  <c r="G1066" i="1" s="1"/>
  <c r="F1215" i="1"/>
  <c r="G1214" i="1"/>
  <c r="F1116" i="1"/>
  <c r="G1116" i="1" s="1"/>
  <c r="F1117" i="1"/>
  <c r="G1117" i="1" s="1"/>
  <c r="F1113" i="1"/>
  <c r="G1113" i="1" s="1"/>
  <c r="F1115" i="1"/>
  <c r="G1115" i="1" s="1"/>
  <c r="F1114" i="1"/>
  <c r="G1114" i="1" s="1"/>
  <c r="F1267" i="1"/>
  <c r="G1267" i="1" s="1"/>
  <c r="F1266" i="1"/>
  <c r="G1266" i="1" s="1"/>
  <c r="G1263" i="1"/>
  <c r="F1265" i="1"/>
  <c r="G1265" i="1" s="1"/>
  <c r="F1268" i="1"/>
  <c r="F1264" i="1"/>
  <c r="G1264" i="1" s="1"/>
  <c r="F1514" i="1"/>
  <c r="G1514" i="1" s="1"/>
  <c r="F1513" i="1"/>
  <c r="G1513" i="1" s="1"/>
  <c r="F1515" i="1" s="1"/>
  <c r="F1471" i="1" l="1"/>
  <c r="G1471" i="1" s="1"/>
  <c r="F1472" i="1"/>
  <c r="G1472" i="1" s="1"/>
  <c r="F1473" i="1" s="1"/>
  <c r="G1473" i="1" s="1"/>
  <c r="F1465" i="1"/>
  <c r="F1470" i="1"/>
  <c r="G1470" i="1" s="1"/>
  <c r="F1467" i="1"/>
  <c r="G1468" i="1" s="1"/>
  <c r="F1468" i="1"/>
  <c r="F1466" i="1"/>
  <c r="G1467" i="1" s="1"/>
  <c r="F1469" i="1"/>
  <c r="G1469" i="1" s="1"/>
  <c r="F1567" i="1"/>
  <c r="G1567" i="1" s="1"/>
  <c r="F1566" i="1"/>
  <c r="G1566" i="1" s="1"/>
  <c r="F1568" i="1" s="1"/>
  <c r="F1516" i="1"/>
  <c r="G1516" i="1" s="1"/>
  <c r="G1515" i="1"/>
  <c r="F1517" i="1" s="1"/>
  <c r="G1517" i="1" s="1"/>
  <c r="F1170" i="1"/>
  <c r="G1170" i="1" s="1"/>
  <c r="F1169" i="1"/>
  <c r="G1169" i="1" s="1"/>
  <c r="F1168" i="1"/>
  <c r="G1168" i="1" s="1"/>
  <c r="F1166" i="1"/>
  <c r="G1166" i="1" s="1"/>
  <c r="F1167" i="1"/>
  <c r="G1167" i="1" s="1"/>
  <c r="F1317" i="1"/>
  <c r="G1317" i="1" s="1"/>
  <c r="F1321" i="1"/>
  <c r="G1316" i="1"/>
  <c r="F1320" i="1"/>
  <c r="G1320" i="1" s="1"/>
  <c r="F1319" i="1"/>
  <c r="G1319" i="1" s="1"/>
  <c r="F1318" i="1"/>
  <c r="G1318" i="1" s="1"/>
  <c r="F1119" i="1"/>
  <c r="G1119" i="1" s="1"/>
  <c r="F1118" i="1"/>
  <c r="G1118" i="1" s="1"/>
  <c r="F1218" i="1"/>
  <c r="G1218" i="1" s="1"/>
  <c r="G1215" i="1"/>
  <c r="F1217" i="1"/>
  <c r="G1217" i="1" s="1"/>
  <c r="F1216" i="1"/>
  <c r="G1216" i="1" s="1"/>
  <c r="F1269" i="1"/>
  <c r="G1268" i="1"/>
  <c r="F1618" i="1"/>
  <c r="G1618" i="1" s="1"/>
  <c r="F1617" i="1"/>
  <c r="G1617" i="1" s="1"/>
  <c r="G1367" i="1"/>
  <c r="F1369" i="1"/>
  <c r="F1670" i="1"/>
  <c r="G1670" i="1" s="1"/>
  <c r="F1669" i="1"/>
  <c r="G1669" i="1" s="1"/>
  <c r="F1421" i="1"/>
  <c r="G1421" i="1" s="1"/>
  <c r="F1420" i="1"/>
  <c r="G1411" i="1"/>
  <c r="G1412" i="1"/>
  <c r="F1520" i="1" l="1"/>
  <c r="G1521" i="1" s="1"/>
  <c r="F1522" i="1"/>
  <c r="G1522" i="1" s="1"/>
  <c r="F1518" i="1"/>
  <c r="F1524" i="1"/>
  <c r="G1524" i="1" s="1"/>
  <c r="F1521" i="1"/>
  <c r="F1525" i="1"/>
  <c r="G1525" i="1" s="1"/>
  <c r="F1526" i="1" s="1"/>
  <c r="G1526" i="1" s="1"/>
  <c r="F1519" i="1"/>
  <c r="G1520" i="1" s="1"/>
  <c r="F1523" i="1"/>
  <c r="G1523" i="1" s="1"/>
  <c r="F1270" i="1"/>
  <c r="G1270" i="1" s="1"/>
  <c r="G1269" i="1"/>
  <c r="F1271" i="1"/>
  <c r="G1271" i="1" s="1"/>
  <c r="F1272" i="1"/>
  <c r="G1272" i="1" s="1"/>
  <c r="G1568" i="1"/>
  <c r="F1570" i="1" s="1"/>
  <c r="G1570" i="1" s="1"/>
  <c r="F1569" i="1"/>
  <c r="G1569" i="1" s="1"/>
  <c r="F1619" i="1"/>
  <c r="G1619" i="1" s="1"/>
  <c r="F1621" i="1" s="1"/>
  <c r="F1620" i="1"/>
  <c r="G1620" i="1" s="1"/>
  <c r="G1321" i="1"/>
  <c r="F1322" i="1"/>
  <c r="F1220" i="1"/>
  <c r="G1220" i="1" s="1"/>
  <c r="F1222" i="1"/>
  <c r="G1222" i="1" s="1"/>
  <c r="F1219" i="1"/>
  <c r="G1219" i="1" s="1"/>
  <c r="F1221" i="1"/>
  <c r="G1221" i="1" s="1"/>
  <c r="F1223" i="1"/>
  <c r="G1223" i="1" s="1"/>
  <c r="F1422" i="1"/>
  <c r="G1420" i="1"/>
  <c r="G1465" i="1"/>
  <c r="G1466" i="1"/>
  <c r="F1172" i="1"/>
  <c r="G1172" i="1" s="1"/>
  <c r="F1171" i="1"/>
  <c r="G1171" i="1" s="1"/>
  <c r="F1475" i="1"/>
  <c r="G1475" i="1" s="1"/>
  <c r="F1474" i="1"/>
  <c r="F1370" i="1"/>
  <c r="G1370" i="1" s="1"/>
  <c r="F1371" i="1"/>
  <c r="G1371" i="1" s="1"/>
  <c r="G1369" i="1"/>
  <c r="F1374" i="1"/>
  <c r="F1373" i="1"/>
  <c r="G1373" i="1" s="1"/>
  <c r="F1372" i="1"/>
  <c r="G1372" i="1" s="1"/>
  <c r="F1671" i="1"/>
  <c r="G1671" i="1" s="1"/>
  <c r="F1672" i="1"/>
  <c r="G1672" i="1" s="1"/>
  <c r="F1273" i="1" l="1"/>
  <c r="G1273" i="1" s="1"/>
  <c r="F1274" i="1"/>
  <c r="G1274" i="1" s="1"/>
  <c r="F1276" i="1"/>
  <c r="G1276" i="1" s="1"/>
  <c r="F1275" i="1"/>
  <c r="G1275" i="1" s="1"/>
  <c r="F1277" i="1"/>
  <c r="G1277" i="1" s="1"/>
  <c r="F1527" i="1"/>
  <c r="F1528" i="1"/>
  <c r="G1528" i="1" s="1"/>
  <c r="F1224" i="1"/>
  <c r="G1224" i="1" s="1"/>
  <c r="F1225" i="1"/>
  <c r="G1225" i="1" s="1"/>
  <c r="F1375" i="1"/>
  <c r="G1374" i="1"/>
  <c r="F1673" i="1"/>
  <c r="G1673" i="1" s="1"/>
  <c r="F1675" i="1" s="1"/>
  <c r="F1674" i="1"/>
  <c r="G1674" i="1" s="1"/>
  <c r="F1622" i="1"/>
  <c r="G1622" i="1" s="1"/>
  <c r="G1621" i="1"/>
  <c r="F1623" i="1" s="1"/>
  <c r="G1623" i="1" s="1"/>
  <c r="G1519" i="1"/>
  <c r="G1518" i="1"/>
  <c r="F1476" i="1"/>
  <c r="G1474" i="1"/>
  <c r="G1322" i="1"/>
  <c r="F1325" i="1"/>
  <c r="G1325" i="1" s="1"/>
  <c r="F1323" i="1"/>
  <c r="G1323" i="1" s="1"/>
  <c r="F1324" i="1"/>
  <c r="G1324" i="1" s="1"/>
  <c r="F1423" i="1"/>
  <c r="G1423" i="1" s="1"/>
  <c r="F1427" i="1"/>
  <c r="F1426" i="1"/>
  <c r="G1426" i="1" s="1"/>
  <c r="F1424" i="1"/>
  <c r="G1424" i="1" s="1"/>
  <c r="G1422" i="1"/>
  <c r="F1425" i="1"/>
  <c r="G1425" i="1" s="1"/>
  <c r="F1573" i="1"/>
  <c r="G1574" i="1" s="1"/>
  <c r="F1577" i="1"/>
  <c r="G1577" i="1" s="1"/>
  <c r="F1572" i="1"/>
  <c r="G1573" i="1" s="1"/>
  <c r="F1576" i="1"/>
  <c r="G1576" i="1" s="1"/>
  <c r="F1578" i="1"/>
  <c r="G1578" i="1" s="1"/>
  <c r="F1579" i="1" s="1"/>
  <c r="G1579" i="1" s="1"/>
  <c r="F1575" i="1"/>
  <c r="G1575" i="1" s="1"/>
  <c r="F1574" i="1"/>
  <c r="F1571" i="1"/>
  <c r="G1675" i="1" l="1"/>
  <c r="F1677" i="1" s="1"/>
  <c r="G1677" i="1" s="1"/>
  <c r="F1676" i="1"/>
  <c r="G1676" i="1" s="1"/>
  <c r="G1527" i="1"/>
  <c r="F1529" i="1"/>
  <c r="F1328" i="1"/>
  <c r="G1328" i="1" s="1"/>
  <c r="F1326" i="1"/>
  <c r="G1326" i="1" s="1"/>
  <c r="F1329" i="1"/>
  <c r="G1329" i="1" s="1"/>
  <c r="F1327" i="1"/>
  <c r="G1327" i="1" s="1"/>
  <c r="F1330" i="1"/>
  <c r="G1330" i="1" s="1"/>
  <c r="G1375" i="1"/>
  <c r="F1377" i="1"/>
  <c r="G1377" i="1" s="1"/>
  <c r="F1378" i="1"/>
  <c r="G1378" i="1" s="1"/>
  <c r="F1376" i="1"/>
  <c r="G1376" i="1" s="1"/>
  <c r="G1476" i="1"/>
  <c r="F1477" i="1"/>
  <c r="G1477" i="1" s="1"/>
  <c r="F1480" i="1"/>
  <c r="G1480" i="1" s="1"/>
  <c r="F1481" i="1"/>
  <c r="F1478" i="1"/>
  <c r="G1478" i="1" s="1"/>
  <c r="F1479" i="1"/>
  <c r="G1479" i="1" s="1"/>
  <c r="F1628" i="1"/>
  <c r="G1628" i="1" s="1"/>
  <c r="F1630" i="1"/>
  <c r="G1630" i="1" s="1"/>
  <c r="F1624" i="1"/>
  <c r="F1625" i="1"/>
  <c r="G1626" i="1" s="1"/>
  <c r="F1627" i="1"/>
  <c r="F1629" i="1"/>
  <c r="G1629" i="1" s="1"/>
  <c r="F1631" i="1"/>
  <c r="G1631" i="1" s="1"/>
  <c r="F1632" i="1" s="1"/>
  <c r="G1632" i="1" s="1"/>
  <c r="F1626" i="1"/>
  <c r="G1627" i="1" s="1"/>
  <c r="F1278" i="1"/>
  <c r="G1278" i="1" s="1"/>
  <c r="F1279" i="1"/>
  <c r="G1279" i="1" s="1"/>
  <c r="F1580" i="1"/>
  <c r="F1581" i="1"/>
  <c r="G1581" i="1" s="1"/>
  <c r="G1572" i="1"/>
  <c r="G1571" i="1"/>
  <c r="F1428" i="1"/>
  <c r="G1427" i="1"/>
  <c r="F1582" i="1" l="1"/>
  <c r="G1580" i="1"/>
  <c r="F1482" i="1"/>
  <c r="G1481" i="1"/>
  <c r="G1624" i="1"/>
  <c r="G1625" i="1"/>
  <c r="F1530" i="1"/>
  <c r="G1530" i="1" s="1"/>
  <c r="F1534" i="1"/>
  <c r="G1529" i="1"/>
  <c r="F1531" i="1"/>
  <c r="G1531" i="1" s="1"/>
  <c r="F1533" i="1"/>
  <c r="G1533" i="1" s="1"/>
  <c r="F1532" i="1"/>
  <c r="G1532" i="1" s="1"/>
  <c r="F1431" i="1"/>
  <c r="G1431" i="1" s="1"/>
  <c r="F1429" i="1"/>
  <c r="G1429" i="1" s="1"/>
  <c r="G1428" i="1"/>
  <c r="F1430" i="1"/>
  <c r="G1430" i="1" s="1"/>
  <c r="F1382" i="1"/>
  <c r="G1382" i="1" s="1"/>
  <c r="F1381" i="1"/>
  <c r="G1381" i="1" s="1"/>
  <c r="F1383" i="1"/>
  <c r="G1383" i="1" s="1"/>
  <c r="F1379" i="1"/>
  <c r="G1379" i="1" s="1"/>
  <c r="F1380" i="1"/>
  <c r="G1380" i="1" s="1"/>
  <c r="F1634" i="1"/>
  <c r="G1634" i="1" s="1"/>
  <c r="F1633" i="1"/>
  <c r="F1331" i="1"/>
  <c r="G1331" i="1" s="1"/>
  <c r="F1332" i="1"/>
  <c r="G1332" i="1" s="1"/>
  <c r="F1683" i="1"/>
  <c r="G1683" i="1" s="1"/>
  <c r="F1678" i="1"/>
  <c r="F1685" i="1"/>
  <c r="G1685" i="1" s="1"/>
  <c r="F1686" i="1" s="1"/>
  <c r="G1686" i="1" s="1"/>
  <c r="F1680" i="1"/>
  <c r="G1681" i="1" s="1"/>
  <c r="F1682" i="1"/>
  <c r="G1682" i="1" s="1"/>
  <c r="F1681" i="1"/>
  <c r="F1684" i="1"/>
  <c r="G1684" i="1" s="1"/>
  <c r="F1679" i="1"/>
  <c r="G1680" i="1" s="1"/>
  <c r="F1635" i="1" l="1"/>
  <c r="G1633" i="1"/>
  <c r="F1687" i="1"/>
  <c r="F1688" i="1"/>
  <c r="G1688" i="1" s="1"/>
  <c r="F1384" i="1"/>
  <c r="G1384" i="1" s="1"/>
  <c r="F1385" i="1"/>
  <c r="G1385" i="1" s="1"/>
  <c r="G1678" i="1"/>
  <c r="G1679" i="1"/>
  <c r="F1484" i="1"/>
  <c r="G1484" i="1" s="1"/>
  <c r="F1483" i="1"/>
  <c r="G1483" i="1" s="1"/>
  <c r="G1482" i="1"/>
  <c r="F1485" i="1"/>
  <c r="G1485" i="1" s="1"/>
  <c r="F1535" i="1"/>
  <c r="G1534" i="1"/>
  <c r="F1434" i="1"/>
  <c r="G1434" i="1" s="1"/>
  <c r="F1432" i="1"/>
  <c r="G1432" i="1" s="1"/>
  <c r="F1435" i="1"/>
  <c r="G1435" i="1" s="1"/>
  <c r="F1433" i="1"/>
  <c r="G1433" i="1" s="1"/>
  <c r="F1436" i="1"/>
  <c r="G1436" i="1" s="1"/>
  <c r="F1587" i="1"/>
  <c r="F1583" i="1"/>
  <c r="G1583" i="1" s="1"/>
  <c r="G1582" i="1"/>
  <c r="F1584" i="1"/>
  <c r="G1584" i="1" s="1"/>
  <c r="F1585" i="1"/>
  <c r="G1585" i="1" s="1"/>
  <c r="F1586" i="1"/>
  <c r="G1586" i="1" s="1"/>
  <c r="F1486" i="1" l="1"/>
  <c r="G1486" i="1" s="1"/>
  <c r="F1490" i="1"/>
  <c r="G1490" i="1" s="1"/>
  <c r="F1488" i="1"/>
  <c r="G1488" i="1" s="1"/>
  <c r="F1489" i="1"/>
  <c r="G1489" i="1" s="1"/>
  <c r="F1487" i="1"/>
  <c r="G1487" i="1" s="1"/>
  <c r="F1588" i="1"/>
  <c r="G1587" i="1"/>
  <c r="G1687" i="1"/>
  <c r="F1689" i="1"/>
  <c r="F1437" i="1"/>
  <c r="G1437" i="1" s="1"/>
  <c r="F1438" i="1"/>
  <c r="G1438" i="1" s="1"/>
  <c r="F1537" i="1"/>
  <c r="G1537" i="1" s="1"/>
  <c r="F1538" i="1"/>
  <c r="G1538" i="1" s="1"/>
  <c r="F1536" i="1"/>
  <c r="G1536" i="1" s="1"/>
  <c r="G1535" i="1"/>
  <c r="G1635" i="1"/>
  <c r="F1637" i="1"/>
  <c r="G1637" i="1" s="1"/>
  <c r="F1639" i="1"/>
  <c r="G1639" i="1" s="1"/>
  <c r="F1636" i="1"/>
  <c r="G1636" i="1" s="1"/>
  <c r="F1638" i="1"/>
  <c r="G1638" i="1" s="1"/>
  <c r="F1640" i="1"/>
  <c r="F1542" i="1" l="1"/>
  <c r="G1542" i="1" s="1"/>
  <c r="F1540" i="1"/>
  <c r="G1540" i="1" s="1"/>
  <c r="F1543" i="1"/>
  <c r="G1543" i="1" s="1"/>
  <c r="F1541" i="1"/>
  <c r="G1541" i="1" s="1"/>
  <c r="F1539" i="1"/>
  <c r="G1539" i="1" s="1"/>
  <c r="G1588" i="1"/>
  <c r="F1591" i="1"/>
  <c r="G1591" i="1" s="1"/>
  <c r="F1590" i="1"/>
  <c r="G1590" i="1" s="1"/>
  <c r="F1589" i="1"/>
  <c r="G1589" i="1" s="1"/>
  <c r="F1491" i="1"/>
  <c r="G1491" i="1" s="1"/>
  <c r="F1492" i="1"/>
  <c r="G1492" i="1" s="1"/>
  <c r="F1692" i="1"/>
  <c r="G1692" i="1" s="1"/>
  <c r="F1693" i="1"/>
  <c r="G1693" i="1" s="1"/>
  <c r="F1691" i="1"/>
  <c r="G1691" i="1" s="1"/>
  <c r="F1690" i="1"/>
  <c r="G1690" i="1" s="1"/>
  <c r="G1689" i="1"/>
  <c r="F1694" i="1"/>
  <c r="G1640" i="1"/>
  <c r="F1641" i="1"/>
  <c r="F1644" i="1" l="1"/>
  <c r="G1644" i="1" s="1"/>
  <c r="G1641" i="1"/>
  <c r="F1643" i="1"/>
  <c r="G1643" i="1" s="1"/>
  <c r="F1642" i="1"/>
  <c r="G1642" i="1" s="1"/>
  <c r="F1595" i="1"/>
  <c r="G1595" i="1" s="1"/>
  <c r="F1593" i="1"/>
  <c r="G1593" i="1" s="1"/>
  <c r="F1596" i="1"/>
  <c r="G1596" i="1" s="1"/>
  <c r="F1594" i="1"/>
  <c r="G1594" i="1" s="1"/>
  <c r="F1592" i="1"/>
  <c r="G1592" i="1" s="1"/>
  <c r="F1695" i="1"/>
  <c r="G1694" i="1"/>
  <c r="F1545" i="1"/>
  <c r="G1545" i="1" s="1"/>
  <c r="F1544" i="1"/>
  <c r="G1544" i="1" s="1"/>
  <c r="G1695" i="1" l="1"/>
  <c r="F1697" i="1"/>
  <c r="G1697" i="1" s="1"/>
  <c r="F1696" i="1"/>
  <c r="G1696" i="1" s="1"/>
  <c r="F1698" i="1"/>
  <c r="G1698" i="1" s="1"/>
  <c r="F1598" i="1"/>
  <c r="G1598" i="1" s="1"/>
  <c r="F1597" i="1"/>
  <c r="G1597" i="1" s="1"/>
  <c r="F1648" i="1"/>
  <c r="G1648" i="1" s="1"/>
  <c r="F1647" i="1"/>
  <c r="G1647" i="1" s="1"/>
  <c r="F1645" i="1"/>
  <c r="G1645" i="1" s="1"/>
  <c r="F1649" i="1"/>
  <c r="G1649" i="1" s="1"/>
  <c r="F1646" i="1"/>
  <c r="G1646" i="1" s="1"/>
  <c r="F1651" i="1" l="1"/>
  <c r="G1651" i="1" s="1"/>
  <c r="F1650" i="1"/>
  <c r="G1650" i="1" s="1"/>
  <c r="F1703" i="1"/>
  <c r="G1703" i="1" s="1"/>
  <c r="F1699" i="1"/>
  <c r="G1699" i="1" s="1"/>
  <c r="F1700" i="1"/>
  <c r="G1700" i="1" s="1"/>
  <c r="F1701" i="1"/>
  <c r="G1701" i="1" s="1"/>
  <c r="F1702" i="1"/>
  <c r="G1702" i="1" s="1"/>
  <c r="F1704" i="1" l="1"/>
  <c r="G1704" i="1" s="1"/>
  <c r="F1705" i="1"/>
  <c r="G1705" i="1" s="1"/>
</calcChain>
</file>

<file path=xl/sharedStrings.xml><?xml version="1.0" encoding="utf-8"?>
<sst xmlns="http://schemas.openxmlformats.org/spreadsheetml/2006/main" count="5358" uniqueCount="129">
  <si>
    <t>Bloco</t>
  </si>
  <si>
    <t>Pavimento</t>
  </si>
  <si>
    <t>Pacote</t>
  </si>
  <si>
    <t>Tarefa</t>
  </si>
  <si>
    <t>Disciplina</t>
  </si>
  <si>
    <t>Início</t>
  </si>
  <si>
    <t>Fim</t>
  </si>
  <si>
    <t>Duração_dias_úteis</t>
  </si>
  <si>
    <t>Içamento_total</t>
  </si>
  <si>
    <t>Bloco 20</t>
  </si>
  <si>
    <t>3º</t>
  </si>
  <si>
    <t>Demolição e retirada de portas e marcenaria</t>
  </si>
  <si>
    <t>Estruturas(8)</t>
  </si>
  <si>
    <t>Demolição de elétrica e net work</t>
  </si>
  <si>
    <t>Elétrica(4)</t>
  </si>
  <si>
    <t>Instalação de elétrica provisória</t>
  </si>
  <si>
    <t>Demolição e retirada de louças, metais, acessórios hidráulicos</t>
  </si>
  <si>
    <t>Hidráulica(10)</t>
  </si>
  <si>
    <t>Demolição e retirada de vidros, paredes e pisos</t>
  </si>
  <si>
    <t>Estruturas(10)</t>
  </si>
  <si>
    <t>Entulho vai ser por tubo</t>
  </si>
  <si>
    <t>Infra para abastecimento de água</t>
  </si>
  <si>
    <t>Hidráulica(6)</t>
  </si>
  <si>
    <t>Kit Distribuição de Agua 3 andar (Kit Todo) mesmo kit da linha 7</t>
  </si>
  <si>
    <t>Infra para drenagem de esgoto sanitário</t>
  </si>
  <si>
    <t>Hidráulica(2)</t>
  </si>
  <si>
    <t>Produção e instalação de sistemas de exaustão e insuflamento</t>
  </si>
  <si>
    <t>Hidráulica(4)</t>
  </si>
  <si>
    <t>Kit Exaustão 3 Andar (Kit Todo)</t>
  </si>
  <si>
    <t>Levante de paredes, requadros e regularização de banheiros</t>
  </si>
  <si>
    <t>Revestimento(4)</t>
  </si>
  <si>
    <t>Tijolo (500), cimeno (2 saco ), 1³ metro areia e 1³ brita, graut. + Kit1 Elétrica</t>
  </si>
  <si>
    <t>Impermeabilização em geral</t>
  </si>
  <si>
    <t>IMPERMEABILIZANTE: tecplus top, cinza, caixa c/ 18 kg (12 cx)</t>
  </si>
  <si>
    <t>Montagem de estrutura de drywall</t>
  </si>
  <si>
    <t>Acabamentos(6)</t>
  </si>
  <si>
    <t xml:space="preserve">Kit 1 Estrutura de Drywall DIVISÓRIAS INTERNAS (Todo o Kit) </t>
  </si>
  <si>
    <t>Infra para energia elétrica para uso geral</t>
  </si>
  <si>
    <t>Elétrica(5)</t>
  </si>
  <si>
    <t>Kit 2, 5 e 8</t>
  </si>
  <si>
    <t>Infra de iluminação</t>
  </si>
  <si>
    <t>Elétrica(2)</t>
  </si>
  <si>
    <t>Infra de sistema de detecção, alarmes e incêndio</t>
  </si>
  <si>
    <t>Elétrica(3)</t>
  </si>
  <si>
    <t>Infra de sistemas de comunicação por voz</t>
  </si>
  <si>
    <t>Infra de ar condicionado</t>
  </si>
  <si>
    <t>Kit refirgeração infra 3 andar (todo kit)</t>
  </si>
  <si>
    <t>Emplacamento e tratamento de juntas de drywall</t>
  </si>
  <si>
    <t>Acabamentos(12)</t>
  </si>
  <si>
    <t xml:space="preserve">Kit 2 Emplacamento  Drywall DIVISÓRIAS INTERNAS (Todo o Kit) </t>
  </si>
  <si>
    <t>Medição para os móveis</t>
  </si>
  <si>
    <t>Contratadas</t>
  </si>
  <si>
    <t>Revestimento de paredes</t>
  </si>
  <si>
    <t>Revestimento (9)</t>
  </si>
  <si>
    <t>Kit Equipe de revestimento 1 (Exceto o Ipermeabilizante)</t>
  </si>
  <si>
    <t>Revestimento de piso dos banheiros</t>
  </si>
  <si>
    <t>Forro de Drywall - Estrutura e Emplacamento</t>
  </si>
  <si>
    <t>Acabamentos (9)</t>
  </si>
  <si>
    <t>Kit 1 e Kit 2 Forro (Todo o Kit)</t>
  </si>
  <si>
    <t>Entrega das janelas externas</t>
  </si>
  <si>
    <t>Estruturas</t>
  </si>
  <si>
    <t xml:space="preserve">Nessa linha janela e vidro vão ser içados separados. São 96 vidros, São 48 marcos. </t>
  </si>
  <si>
    <t>Retirada de janelas e vidros</t>
  </si>
  <si>
    <t>Estruturas(6)</t>
  </si>
  <si>
    <t>Montagem das janelas externas</t>
  </si>
  <si>
    <t>Preparação e 1ª demão de pintura</t>
  </si>
  <si>
    <t>Acabamentos(20)</t>
  </si>
  <si>
    <t>Kit 1 masas 3° Andar (Todo o Kit)</t>
  </si>
  <si>
    <t>Cabeamento para energia elétrica para uso geral</t>
  </si>
  <si>
    <t>Elétrica (4)</t>
  </si>
  <si>
    <t>Kit 3, 6 e 9</t>
  </si>
  <si>
    <t>Cabeamento de iluminação</t>
  </si>
  <si>
    <t>Cabeamento de sistema de detecção, alarmes e incêndio</t>
  </si>
  <si>
    <t>Cabeamento de sistemas de comunicação por voz</t>
  </si>
  <si>
    <t>Instalação de ar condicionado</t>
  </si>
  <si>
    <t>Hidáulica(5)</t>
  </si>
  <si>
    <t>Kit refrigeração Instalação 3 andar (Todo Kit)</t>
  </si>
  <si>
    <t>Instalação dos kits para drenagem de esgoto sanitário</t>
  </si>
  <si>
    <t>Hidráulica</t>
  </si>
  <si>
    <t>O material vai estar no subsolo d 16</t>
  </si>
  <si>
    <t>Instalação dos kits para abastecimento de água</t>
  </si>
  <si>
    <t>Revestimento de piso - Piso laminado</t>
  </si>
  <si>
    <t>Pintura mecanizada dos apartamentos</t>
  </si>
  <si>
    <t>Acabamentos (10)</t>
  </si>
  <si>
    <t>Kit 2 Pintura titas  3° Andar (Todo o Kit)</t>
  </si>
  <si>
    <t>Entrega dos Móveis</t>
  </si>
  <si>
    <t>Montagem dos Móveis</t>
  </si>
  <si>
    <t>Granito (Produção, Instalação e Acabamento)</t>
  </si>
  <si>
    <t>Revestimento(6)</t>
  </si>
  <si>
    <t>Acabamento de sistemas de comunicação por voz</t>
  </si>
  <si>
    <t>Kit 10</t>
  </si>
  <si>
    <t>Acabamento de detecção e alarmes</t>
  </si>
  <si>
    <t>Quadros elétricos de energia elétrica para uso geral</t>
  </si>
  <si>
    <t>Acabamento de iluminação</t>
  </si>
  <si>
    <t>Retirada de elétrica provisória</t>
  </si>
  <si>
    <t>Testes de sistemas de energia elétrica para uso geral</t>
  </si>
  <si>
    <t>Acabamento de rodapé e vedacryll</t>
  </si>
  <si>
    <t>Estruturas(4)</t>
  </si>
  <si>
    <t>Instalação de batentes, portas, box, bandô e revitalização de portas</t>
  </si>
  <si>
    <t>Esruturas(6)</t>
  </si>
  <si>
    <t>24 vidros, 48 bandos</t>
  </si>
  <si>
    <t>Comissionamento elétrico</t>
  </si>
  <si>
    <t>MNT</t>
  </si>
  <si>
    <t>Instalação de equipamentos de incêndio e testes de sistemas hidráulicos</t>
  </si>
  <si>
    <t>Hidáulica(2)</t>
  </si>
  <si>
    <t>Material já vai estar com a equipe. (Não precisa içamento).</t>
  </si>
  <si>
    <t>Instalação de louças, metais e acessórios</t>
  </si>
  <si>
    <t>Kit Distribuição de aguas louças e metais (kit todo)</t>
  </si>
  <si>
    <t>Instalação de forro mineral</t>
  </si>
  <si>
    <t>Retoques finais de pintura e 2ª demão no corredor</t>
  </si>
  <si>
    <t>Acabamentos(10)</t>
  </si>
  <si>
    <t>Kit 3 pintura tintas retoque final (todo o kit)</t>
  </si>
  <si>
    <t>Comissionamento hidráulico</t>
  </si>
  <si>
    <t>Instalação de carpete no corredor</t>
  </si>
  <si>
    <t>Revestimento(2)</t>
  </si>
  <si>
    <t>CARPETE: modular River Rock/ CARPETE: modular granite/ CARPETE: modular mineral (16 CX) COLA: p/ carpete, piso c/ umidade, N5000 Lokworx, 15,14 L (2 Balde)</t>
  </si>
  <si>
    <t>Assistência técnica dos móveis</t>
  </si>
  <si>
    <t>2º</t>
  </si>
  <si>
    <t>1º</t>
  </si>
  <si>
    <t>Térreo</t>
  </si>
  <si>
    <t>Demolição e retirada de piso frio</t>
  </si>
  <si>
    <t>Confirmar (Manual)</t>
  </si>
  <si>
    <t>Bloco 19</t>
  </si>
  <si>
    <t>Bloco 18</t>
  </si>
  <si>
    <t>Bloco 17</t>
  </si>
  <si>
    <t>Bloco 21</t>
  </si>
  <si>
    <t>Bloco 22</t>
  </si>
  <si>
    <t>Bloco 23</t>
  </si>
  <si>
    <t>Bloco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</si>
</sst>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206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2" fillId="19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/>
    <xf numFmtId="14" fontId="2" fillId="19" borderId="1" xfId="0" applyNumberFormat="1" applyFont="1" applyFill="1" applyBorder="1"/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14" fontId="5" fillId="8" borderId="1" xfId="0" applyNumberFormat="1" applyFont="1" applyFill="1" applyBorder="1"/>
    <xf numFmtId="0" fontId="8" fillId="8" borderId="1" xfId="0" applyFont="1" applyFill="1" applyBorder="1"/>
    <xf numFmtId="0" fontId="0" fillId="8" borderId="1" xfId="0" applyFill="1" applyBorder="1"/>
    <xf numFmtId="0" fontId="5" fillId="15" borderId="1" xfId="0" applyFont="1" applyFill="1" applyBorder="1"/>
    <xf numFmtId="0" fontId="3" fillId="15" borderId="1" xfId="0" applyFont="1" applyFill="1" applyBorder="1"/>
    <xf numFmtId="14" fontId="3" fillId="15" borderId="1" xfId="0" applyNumberFormat="1" applyFont="1" applyFill="1" applyBorder="1"/>
    <xf numFmtId="14" fontId="5" fillId="15" borderId="1" xfId="0" applyNumberFormat="1" applyFont="1" applyFill="1" applyBorder="1"/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4" fontId="5" fillId="6" borderId="1" xfId="0" applyNumberFormat="1" applyFont="1" applyFill="1" applyBorder="1"/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vertical="center"/>
    </xf>
    <xf numFmtId="0" fontId="3" fillId="15" borderId="1" xfId="0" applyFont="1" applyFill="1" applyBorder="1" applyAlignment="1">
      <alignment vertical="center"/>
    </xf>
    <xf numFmtId="0" fontId="3" fillId="15" borderId="1" xfId="0" applyFont="1" applyFill="1" applyBorder="1" applyAlignment="1">
      <alignment horizontal="center" vertical="center"/>
    </xf>
    <xf numFmtId="0" fontId="5" fillId="17" borderId="1" xfId="0" applyFont="1" applyFill="1" applyBorder="1"/>
    <xf numFmtId="0" fontId="5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14" fontId="3" fillId="4" borderId="1" xfId="0" applyNumberFormat="1" applyFont="1" applyFill="1" applyBorder="1"/>
    <xf numFmtId="14" fontId="5" fillId="4" borderId="1" xfId="0" applyNumberFormat="1" applyFont="1" applyFill="1" applyBorder="1"/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14" fontId="3" fillId="8" borderId="1" xfId="0" applyNumberFormat="1" applyFont="1" applyFill="1" applyBorder="1"/>
    <xf numFmtId="0" fontId="6" fillId="8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14" fontId="2" fillId="10" borderId="1" xfId="0" applyNumberFormat="1" applyFont="1" applyFill="1" applyBorder="1"/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14" fontId="2" fillId="5" borderId="1" xfId="0" applyNumberFormat="1" applyFont="1" applyFill="1" applyBorder="1"/>
    <xf numFmtId="0" fontId="3" fillId="6" borderId="1" xfId="0" applyFont="1" applyFill="1" applyBorder="1"/>
    <xf numFmtId="14" fontId="3" fillId="6" borderId="1" xfId="0" applyNumberFormat="1" applyFont="1" applyFill="1" applyBorder="1"/>
    <xf numFmtId="0" fontId="0" fillId="6" borderId="1" xfId="0" applyFill="1" applyBorder="1"/>
    <xf numFmtId="0" fontId="5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14" fontId="3" fillId="9" borderId="1" xfId="0" applyNumberFormat="1" applyFont="1" applyFill="1" applyBorder="1"/>
    <xf numFmtId="14" fontId="5" fillId="9" borderId="1" xfId="0" applyNumberFormat="1" applyFont="1" applyFill="1" applyBorder="1"/>
    <xf numFmtId="0" fontId="0" fillId="9" borderId="1" xfId="0" applyFill="1" applyBorder="1"/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/>
    <xf numFmtId="14" fontId="2" fillId="12" borderId="1" xfId="0" applyNumberFormat="1" applyFont="1" applyFill="1" applyBorder="1"/>
    <xf numFmtId="0" fontId="11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/>
    <xf numFmtId="0" fontId="5" fillId="4" borderId="1" xfId="0" applyFont="1" applyFill="1" applyBorder="1"/>
    <xf numFmtId="0" fontId="5" fillId="13" borderId="1" xfId="0" applyFont="1" applyFill="1" applyBorder="1"/>
    <xf numFmtId="0" fontId="3" fillId="13" borderId="1" xfId="0" applyFont="1" applyFill="1" applyBorder="1"/>
    <xf numFmtId="0" fontId="3" fillId="13" borderId="1" xfId="0" applyFont="1" applyFill="1" applyBorder="1" applyAlignment="1">
      <alignment horizontal="center" vertical="center"/>
    </xf>
    <xf numFmtId="14" fontId="3" fillId="13" borderId="1" xfId="0" applyNumberFormat="1" applyFont="1" applyFill="1" applyBorder="1"/>
    <xf numFmtId="14" fontId="5" fillId="13" borderId="1" xfId="0" applyNumberFormat="1" applyFont="1" applyFill="1" applyBorder="1"/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 vertical="center"/>
    </xf>
    <xf numFmtId="14" fontId="2" fillId="14" borderId="1" xfId="0" applyNumberFormat="1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/>
    <xf numFmtId="0" fontId="5" fillId="16" borderId="1" xfId="0" applyFont="1" applyFill="1" applyBorder="1"/>
    <xf numFmtId="0" fontId="5" fillId="16" borderId="1" xfId="0" applyFont="1" applyFill="1" applyBorder="1" applyAlignment="1">
      <alignment horizontal="center" vertical="center"/>
    </xf>
    <xf numFmtId="14" fontId="5" fillId="16" borderId="1" xfId="0" applyNumberFormat="1" applyFont="1" applyFill="1" applyBorder="1"/>
    <xf numFmtId="0" fontId="5" fillId="17" borderId="1" xfId="0" applyFont="1" applyFill="1" applyBorder="1" applyAlignment="1">
      <alignment horizontal="center" vertical="center"/>
    </xf>
    <xf numFmtId="14" fontId="5" fillId="17" borderId="1" xfId="0" applyNumberFormat="1" applyFont="1" applyFill="1" applyBorder="1"/>
    <xf numFmtId="0" fontId="5" fillId="18" borderId="1" xfId="0" applyFont="1" applyFill="1" applyBorder="1"/>
    <xf numFmtId="0" fontId="5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vertical="center" wrapText="1"/>
    </xf>
    <xf numFmtId="14" fontId="5" fillId="18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0" fillId="19" borderId="1" xfId="0" applyFont="1" applyFill="1" applyBorder="1"/>
    <xf numFmtId="0" fontId="10" fillId="19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0" fillId="10" borderId="1" xfId="0" applyFont="1" applyFill="1" applyBorder="1"/>
    <xf numFmtId="0" fontId="10" fillId="10" borderId="1" xfId="0" applyFont="1" applyFill="1" applyBorder="1" applyAlignment="1">
      <alignment horizontal="center" vertic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10" fillId="14" borderId="1" xfId="0" applyFont="1" applyFill="1" applyBorder="1"/>
    <xf numFmtId="0" fontId="10" fillId="14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0" fillId="12" borderId="1" xfId="0" applyFont="1" applyFill="1" applyBorder="1"/>
    <xf numFmtId="0" fontId="10" fillId="12" borderId="1" xfId="0" applyFont="1" applyFill="1" applyBorder="1" applyAlignment="1">
      <alignment horizontal="center" vertical="center"/>
    </xf>
    <xf numFmtId="0" fontId="3" fillId="11" borderId="1" xfId="0" applyFont="1" applyFill="1" applyBorder="1"/>
    <xf numFmtId="0" fontId="2" fillId="13" borderId="1" xfId="0" applyFont="1" applyFill="1" applyBorder="1"/>
    <xf numFmtId="0" fontId="5" fillId="12" borderId="1" xfId="0" applyFont="1" applyFill="1" applyBorder="1"/>
    <xf numFmtId="0" fontId="5" fillId="5" borderId="1" xfId="0" applyFont="1" applyFill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2" fillId="1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0" fillId="9" borderId="1" xfId="0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1705"/>
  <sheetViews>
    <sheetView tabSelected="1" zoomScale="85" zoomScaleNormal="85" workbookViewId="0">
      <selection activeCell="D220" sqref="D220"/>
    </sheetView>
  </sheetViews>
  <sheetFormatPr defaultColWidth="8.7109375" defaultRowHeight="15"/>
  <cols>
    <col min="1" max="1" width="18.140625" style="4" customWidth="1"/>
    <col min="2" max="2" width="14.85546875" style="4" customWidth="1"/>
    <col min="3" max="3" width="14.85546875" style="125" customWidth="1"/>
    <col min="4" max="4" width="61.28515625" style="4" customWidth="1"/>
    <col min="5" max="5" width="17.5703125" style="4" customWidth="1"/>
    <col min="6" max="6" width="17.140625" style="126" customWidth="1"/>
    <col min="7" max="7" width="19.28515625" style="126" customWidth="1"/>
    <col min="8" max="8" width="23.140625" style="4" customWidth="1"/>
    <col min="9" max="9" width="21" style="4" customWidth="1"/>
    <col min="10" max="10" width="68.7109375" style="4" customWidth="1"/>
    <col min="11" max="16384" width="8.7109375" style="4"/>
  </cols>
  <sheetData>
    <row r="1" spans="1:16376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16376">
      <c r="A2" s="5" t="s">
        <v>9</v>
      </c>
      <c r="B2" s="6" t="s">
        <v>10</v>
      </c>
      <c r="C2" s="7">
        <v>2</v>
      </c>
      <c r="D2" s="6" t="s">
        <v>11</v>
      </c>
      <c r="E2" s="6" t="s">
        <v>12</v>
      </c>
      <c r="F2" s="8">
        <v>46055</v>
      </c>
      <c r="G2" s="8">
        <f>WORKDAY(F2,H2-1,)</f>
        <v>46066</v>
      </c>
      <c r="H2" s="6">
        <v>10</v>
      </c>
      <c r="I2" s="6">
        <v>36</v>
      </c>
    </row>
    <row r="3" spans="1:16376">
      <c r="A3" s="5" t="s">
        <v>9</v>
      </c>
      <c r="B3" s="6" t="s">
        <v>10</v>
      </c>
      <c r="C3" s="7">
        <v>2</v>
      </c>
      <c r="D3" s="6" t="s">
        <v>13</v>
      </c>
      <c r="E3" s="6" t="s">
        <v>14</v>
      </c>
      <c r="F3" s="8">
        <v>46055</v>
      </c>
      <c r="G3" s="8">
        <f t="shared" ref="G3:G54" si="0">WORKDAY(F3,H3-1,)</f>
        <v>46066</v>
      </c>
      <c r="H3" s="6">
        <v>10</v>
      </c>
      <c r="I3" s="6">
        <v>1</v>
      </c>
    </row>
    <row r="4" spans="1:16376">
      <c r="A4" s="5" t="s">
        <v>9</v>
      </c>
      <c r="B4" s="6" t="s">
        <v>10</v>
      </c>
      <c r="C4" s="7">
        <v>2</v>
      </c>
      <c r="D4" s="6" t="s">
        <v>15</v>
      </c>
      <c r="E4" s="6" t="s">
        <v>14</v>
      </c>
      <c r="F4" s="8">
        <v>46055</v>
      </c>
      <c r="G4" s="8">
        <f>WORKDAY(F4,H4-1,)</f>
        <v>46066</v>
      </c>
      <c r="H4" s="6">
        <v>10</v>
      </c>
      <c r="I4" s="6">
        <v>1</v>
      </c>
    </row>
    <row r="5" spans="1:16376">
      <c r="A5" s="9" t="s">
        <v>9</v>
      </c>
      <c r="B5" s="9" t="s">
        <v>10</v>
      </c>
      <c r="C5" s="10">
        <v>3</v>
      </c>
      <c r="D5" s="11" t="s">
        <v>16</v>
      </c>
      <c r="E5" s="11" t="s">
        <v>17</v>
      </c>
      <c r="F5" s="12">
        <f>WORKDAY(G4,-4)</f>
        <v>46062</v>
      </c>
      <c r="G5" s="12">
        <f t="shared" si="0"/>
        <v>46073</v>
      </c>
      <c r="H5" s="11">
        <v>10</v>
      </c>
      <c r="I5" s="11">
        <v>5</v>
      </c>
    </row>
    <row r="6" spans="1:16376">
      <c r="A6" s="9" t="s">
        <v>9</v>
      </c>
      <c r="B6" s="9" t="s">
        <v>10</v>
      </c>
      <c r="C6" s="10">
        <v>3</v>
      </c>
      <c r="D6" s="11" t="s">
        <v>18</v>
      </c>
      <c r="E6" s="11" t="s">
        <v>19</v>
      </c>
      <c r="F6" s="12">
        <f>WORKDAY(G4,-4)</f>
        <v>46062</v>
      </c>
      <c r="G6" s="12">
        <f t="shared" si="0"/>
        <v>46073</v>
      </c>
      <c r="H6" s="11">
        <v>10</v>
      </c>
      <c r="I6" s="13">
        <v>4</v>
      </c>
      <c r="J6" s="14" t="s">
        <v>20</v>
      </c>
    </row>
    <row r="7" spans="1:16376">
      <c r="A7" s="9" t="s">
        <v>9</v>
      </c>
      <c r="B7" s="9" t="s">
        <v>10</v>
      </c>
      <c r="C7" s="10">
        <v>3</v>
      </c>
      <c r="D7" s="11" t="s">
        <v>21</v>
      </c>
      <c r="E7" s="11" t="s">
        <v>22</v>
      </c>
      <c r="F7" s="12">
        <f>WORKDAY(G4,-4)</f>
        <v>46062</v>
      </c>
      <c r="G7" s="12">
        <f t="shared" si="0"/>
        <v>46073</v>
      </c>
      <c r="H7" s="11">
        <v>10</v>
      </c>
      <c r="I7" s="11">
        <v>3</v>
      </c>
      <c r="J7" s="11" t="s">
        <v>23</v>
      </c>
    </row>
    <row r="8" spans="1:16376">
      <c r="A8" s="9" t="s">
        <v>9</v>
      </c>
      <c r="B8" s="9" t="s">
        <v>10</v>
      </c>
      <c r="C8" s="10">
        <v>3</v>
      </c>
      <c r="D8" s="11" t="s">
        <v>24</v>
      </c>
      <c r="E8" s="11" t="s">
        <v>25</v>
      </c>
      <c r="F8" s="12">
        <f>WORKDAY(G4,-4)</f>
        <v>46062</v>
      </c>
      <c r="G8" s="12">
        <f t="shared" si="0"/>
        <v>46073</v>
      </c>
      <c r="H8" s="11">
        <v>10</v>
      </c>
      <c r="I8" s="11">
        <v>0</v>
      </c>
      <c r="J8" s="11"/>
    </row>
    <row r="9" spans="1:16376">
      <c r="A9" s="15" t="s">
        <v>9</v>
      </c>
      <c r="B9" s="15" t="s">
        <v>10</v>
      </c>
      <c r="C9" s="16">
        <v>4</v>
      </c>
      <c r="D9" s="17" t="s">
        <v>26</v>
      </c>
      <c r="E9" s="17" t="s">
        <v>27</v>
      </c>
      <c r="F9" s="18">
        <f>WORKDAY(G8,-4)</f>
        <v>46069</v>
      </c>
      <c r="G9" s="18">
        <f t="shared" si="0"/>
        <v>46080</v>
      </c>
      <c r="H9" s="17">
        <v>10</v>
      </c>
      <c r="I9" s="17">
        <v>2</v>
      </c>
      <c r="J9" s="17" t="s">
        <v>28</v>
      </c>
    </row>
    <row r="10" spans="1:16376">
      <c r="A10" s="19" t="s">
        <v>9</v>
      </c>
      <c r="B10" s="19" t="s">
        <v>10</v>
      </c>
      <c r="C10" s="20">
        <v>5</v>
      </c>
      <c r="D10" s="21" t="s">
        <v>29</v>
      </c>
      <c r="E10" s="21" t="s">
        <v>30</v>
      </c>
      <c r="F10" s="22">
        <f>WORKDAY(F9,5)</f>
        <v>46076</v>
      </c>
      <c r="G10" s="22">
        <f t="shared" ref="G10:G11" si="1">WORKDAY(F10,H10-1,)</f>
        <v>46080</v>
      </c>
      <c r="H10" s="21">
        <v>5</v>
      </c>
      <c r="I10" s="21">
        <v>4</v>
      </c>
      <c r="J10" s="23" t="s">
        <v>31</v>
      </c>
      <c r="K10" s="24"/>
    </row>
    <row r="11" spans="1:16376">
      <c r="A11" s="19" t="s">
        <v>9</v>
      </c>
      <c r="B11" s="19" t="s">
        <v>10</v>
      </c>
      <c r="C11" s="20">
        <v>5</v>
      </c>
      <c r="D11" s="21" t="s">
        <v>32</v>
      </c>
      <c r="E11" s="21" t="s">
        <v>30</v>
      </c>
      <c r="F11" s="22">
        <f>WORKDAY(G9,1)</f>
        <v>46083</v>
      </c>
      <c r="G11" s="22">
        <f t="shared" si="1"/>
        <v>46087</v>
      </c>
      <c r="H11" s="21">
        <v>5</v>
      </c>
      <c r="I11" s="21">
        <v>1</v>
      </c>
      <c r="J11" s="23" t="s">
        <v>33</v>
      </c>
      <c r="K11" s="25"/>
      <c r="L11" s="26"/>
      <c r="M11" s="26"/>
      <c r="N11" s="27"/>
      <c r="O11" s="28"/>
      <c r="P11" s="26"/>
      <c r="Q11" s="26"/>
      <c r="S11" s="25"/>
      <c r="T11" s="26"/>
      <c r="U11" s="26"/>
      <c r="V11" s="27"/>
      <c r="W11" s="28"/>
      <c r="X11" s="26"/>
      <c r="Y11" s="26"/>
      <c r="AA11" s="25"/>
      <c r="AB11" s="26"/>
      <c r="AC11" s="26"/>
      <c r="AD11" s="27"/>
      <c r="AE11" s="28"/>
      <c r="AF11" s="26"/>
      <c r="AG11" s="26"/>
      <c r="AI11" s="25"/>
      <c r="AJ11" s="26"/>
      <c r="AK11" s="26"/>
      <c r="AL11" s="27"/>
      <c r="AM11" s="28"/>
      <c r="AN11" s="26"/>
      <c r="AO11" s="26"/>
      <c r="AQ11" s="25"/>
      <c r="AR11" s="26"/>
      <c r="AS11" s="26"/>
      <c r="AT11" s="27"/>
      <c r="AU11" s="28"/>
      <c r="AV11" s="26"/>
      <c r="AW11" s="26"/>
      <c r="AY11" s="25"/>
      <c r="AZ11" s="26"/>
      <c r="BA11" s="26"/>
      <c r="BB11" s="27"/>
      <c r="BC11" s="28"/>
      <c r="BD11" s="26"/>
      <c r="BE11" s="26"/>
      <c r="BG11" s="25"/>
      <c r="BH11" s="26"/>
      <c r="BI11" s="26"/>
      <c r="BJ11" s="27"/>
      <c r="BK11" s="28"/>
      <c r="BL11" s="26"/>
      <c r="BM11" s="26"/>
      <c r="BO11" s="25"/>
      <c r="BP11" s="26"/>
      <c r="BQ11" s="26"/>
      <c r="BR11" s="27"/>
      <c r="BS11" s="28"/>
      <c r="BT11" s="26"/>
      <c r="BU11" s="26"/>
      <c r="BW11" s="25"/>
      <c r="BX11" s="26"/>
      <c r="BY11" s="26"/>
      <c r="BZ11" s="27"/>
      <c r="CA11" s="28"/>
      <c r="CB11" s="26"/>
      <c r="CC11" s="26"/>
      <c r="CE11" s="25"/>
      <c r="CF11" s="26"/>
      <c r="CG11" s="26"/>
      <c r="CH11" s="27"/>
      <c r="CI11" s="28"/>
      <c r="CJ11" s="26"/>
      <c r="CK11" s="26"/>
      <c r="CM11" s="25"/>
      <c r="CN11" s="26"/>
      <c r="CO11" s="26"/>
      <c r="CP11" s="27"/>
      <c r="CQ11" s="28"/>
      <c r="CR11" s="26"/>
      <c r="CS11" s="26"/>
      <c r="CU11" s="25"/>
      <c r="CV11" s="26"/>
      <c r="CW11" s="26"/>
      <c r="CX11" s="27"/>
      <c r="CY11" s="28"/>
      <c r="CZ11" s="26"/>
      <c r="DA11" s="26"/>
      <c r="DC11" s="25"/>
      <c r="DD11" s="26"/>
      <c r="DE11" s="26"/>
      <c r="DF11" s="27"/>
      <c r="DG11" s="28"/>
      <c r="DH11" s="26"/>
      <c r="DI11" s="26"/>
      <c r="DK11" s="25"/>
      <c r="DL11" s="26"/>
      <c r="DM11" s="26"/>
      <c r="DN11" s="27"/>
      <c r="DO11" s="28"/>
      <c r="DP11" s="26"/>
      <c r="DQ11" s="26"/>
      <c r="DS11" s="25"/>
      <c r="DT11" s="26"/>
      <c r="DU11" s="26"/>
      <c r="DV11" s="27"/>
      <c r="DW11" s="28"/>
      <c r="DX11" s="26"/>
      <c r="DY11" s="26"/>
      <c r="EA11" s="25"/>
      <c r="EB11" s="26"/>
      <c r="EC11" s="26"/>
      <c r="ED11" s="27"/>
      <c r="EE11" s="28"/>
      <c r="EF11" s="26"/>
      <c r="EG11" s="26"/>
      <c r="EI11" s="25"/>
      <c r="EJ11" s="26"/>
      <c r="EK11" s="26"/>
      <c r="EL11" s="27"/>
      <c r="EM11" s="28"/>
      <c r="EN11" s="26"/>
      <c r="EO11" s="26"/>
      <c r="EQ11" s="25"/>
      <c r="ER11" s="26"/>
      <c r="ES11" s="26"/>
      <c r="ET11" s="27"/>
      <c r="EU11" s="28"/>
      <c r="EV11" s="26"/>
      <c r="EW11" s="26"/>
      <c r="EY11" s="25"/>
      <c r="EZ11" s="26"/>
      <c r="FA11" s="26"/>
      <c r="FB11" s="27"/>
      <c r="FC11" s="28"/>
      <c r="FD11" s="26"/>
      <c r="FE11" s="26"/>
      <c r="FG11" s="25"/>
      <c r="FH11" s="26"/>
      <c r="FI11" s="26"/>
      <c r="FJ11" s="27"/>
      <c r="FK11" s="28"/>
      <c r="FL11" s="26"/>
      <c r="FM11" s="26"/>
      <c r="FO11" s="25"/>
      <c r="FP11" s="26"/>
      <c r="FQ11" s="26"/>
      <c r="FR11" s="27"/>
      <c r="FS11" s="28"/>
      <c r="FT11" s="26"/>
      <c r="FU11" s="26"/>
      <c r="FW11" s="25"/>
      <c r="FX11" s="26"/>
      <c r="FY11" s="26"/>
      <c r="FZ11" s="27"/>
      <c r="GA11" s="28"/>
      <c r="GB11" s="26"/>
      <c r="GC11" s="26"/>
      <c r="GE11" s="25"/>
      <c r="GF11" s="26"/>
      <c r="GG11" s="26"/>
      <c r="GH11" s="27"/>
      <c r="GI11" s="28"/>
      <c r="GJ11" s="26"/>
      <c r="GK11" s="26"/>
      <c r="GM11" s="25"/>
      <c r="GN11" s="26"/>
      <c r="GO11" s="26"/>
      <c r="GP11" s="27"/>
      <c r="GQ11" s="28"/>
      <c r="GR11" s="26"/>
      <c r="GS11" s="26"/>
      <c r="GU11" s="25"/>
      <c r="GV11" s="26"/>
      <c r="GW11" s="26"/>
      <c r="GX11" s="27"/>
      <c r="GY11" s="28"/>
      <c r="GZ11" s="26"/>
      <c r="HA11" s="26"/>
      <c r="HC11" s="25"/>
      <c r="HD11" s="26"/>
      <c r="HE11" s="26"/>
      <c r="HF11" s="27"/>
      <c r="HG11" s="28"/>
      <c r="HH11" s="26"/>
      <c r="HI11" s="26"/>
      <c r="HK11" s="25"/>
      <c r="HL11" s="26"/>
      <c r="HM11" s="26"/>
      <c r="HN11" s="27"/>
      <c r="HO11" s="28"/>
      <c r="HP11" s="26"/>
      <c r="HQ11" s="26"/>
      <c r="HS11" s="25"/>
      <c r="HT11" s="26"/>
      <c r="HU11" s="26"/>
      <c r="HV11" s="27"/>
      <c r="HW11" s="28"/>
      <c r="HX11" s="26"/>
      <c r="HY11" s="26"/>
      <c r="IA11" s="25"/>
      <c r="IB11" s="26"/>
      <c r="IC11" s="26"/>
      <c r="ID11" s="27"/>
      <c r="IE11" s="28"/>
      <c r="IF11" s="26"/>
      <c r="IG11" s="26"/>
      <c r="II11" s="25"/>
      <c r="IJ11" s="26"/>
      <c r="IK11" s="26"/>
      <c r="IL11" s="27"/>
      <c r="IM11" s="28"/>
      <c r="IN11" s="26"/>
      <c r="IO11" s="26"/>
      <c r="IQ11" s="25"/>
      <c r="IR11" s="26"/>
      <c r="IS11" s="26"/>
      <c r="IT11" s="27"/>
      <c r="IU11" s="28"/>
      <c r="IV11" s="26"/>
      <c r="IW11" s="26"/>
      <c r="IY11" s="25"/>
      <c r="IZ11" s="26"/>
      <c r="JA11" s="26"/>
      <c r="JB11" s="27"/>
      <c r="JC11" s="28"/>
      <c r="JD11" s="26"/>
      <c r="JE11" s="26"/>
      <c r="JG11" s="25"/>
      <c r="JH11" s="26"/>
      <c r="JI11" s="26"/>
      <c r="JJ11" s="27"/>
      <c r="JK11" s="28"/>
      <c r="JL11" s="26"/>
      <c r="JM11" s="26"/>
      <c r="JO11" s="25"/>
      <c r="JP11" s="26"/>
      <c r="JQ11" s="26"/>
      <c r="JR11" s="27"/>
      <c r="JS11" s="28"/>
      <c r="JT11" s="26"/>
      <c r="JU11" s="26"/>
      <c r="JW11" s="25"/>
      <c r="JX11" s="26"/>
      <c r="JY11" s="26"/>
      <c r="JZ11" s="27"/>
      <c r="KA11" s="28"/>
      <c r="KB11" s="26"/>
      <c r="KC11" s="26"/>
      <c r="KE11" s="25"/>
      <c r="KF11" s="26"/>
      <c r="KG11" s="26"/>
      <c r="KH11" s="27"/>
      <c r="KI11" s="28"/>
      <c r="KJ11" s="26"/>
      <c r="KK11" s="26"/>
      <c r="KM11" s="25"/>
      <c r="KN11" s="26"/>
      <c r="KO11" s="26"/>
      <c r="KP11" s="27"/>
      <c r="KQ11" s="28"/>
      <c r="KR11" s="26"/>
      <c r="KS11" s="26"/>
      <c r="KU11" s="25"/>
      <c r="KV11" s="26"/>
      <c r="KW11" s="26"/>
      <c r="KX11" s="27"/>
      <c r="KY11" s="28"/>
      <c r="KZ11" s="26"/>
      <c r="LA11" s="26"/>
      <c r="LC11" s="25"/>
      <c r="LD11" s="26"/>
      <c r="LE11" s="26"/>
      <c r="LF11" s="27"/>
      <c r="LG11" s="28"/>
      <c r="LH11" s="26"/>
      <c r="LI11" s="26"/>
      <c r="LK11" s="25"/>
      <c r="LL11" s="26"/>
      <c r="LM11" s="26"/>
      <c r="LN11" s="27"/>
      <c r="LO11" s="28"/>
      <c r="LP11" s="26"/>
      <c r="LQ11" s="26"/>
      <c r="LS11" s="25"/>
      <c r="LT11" s="26"/>
      <c r="LU11" s="26"/>
      <c r="LV11" s="27"/>
      <c r="LW11" s="28"/>
      <c r="LX11" s="26"/>
      <c r="LY11" s="26"/>
      <c r="MA11" s="25"/>
      <c r="MB11" s="26"/>
      <c r="MC11" s="26"/>
      <c r="MD11" s="27"/>
      <c r="ME11" s="28"/>
      <c r="MF11" s="26"/>
      <c r="MG11" s="26"/>
      <c r="MI11" s="25"/>
      <c r="MJ11" s="26"/>
      <c r="MK11" s="26"/>
      <c r="ML11" s="27"/>
      <c r="MM11" s="28"/>
      <c r="MN11" s="26"/>
      <c r="MO11" s="26"/>
      <c r="MQ11" s="25"/>
      <c r="MR11" s="26"/>
      <c r="MS11" s="26"/>
      <c r="MT11" s="27"/>
      <c r="MU11" s="28"/>
      <c r="MV11" s="26"/>
      <c r="MW11" s="26"/>
      <c r="MY11" s="25"/>
      <c r="MZ11" s="26"/>
      <c r="NA11" s="26"/>
      <c r="NB11" s="27"/>
      <c r="NC11" s="28"/>
      <c r="ND11" s="26"/>
      <c r="NE11" s="26"/>
      <c r="NG11" s="25"/>
      <c r="NH11" s="26"/>
      <c r="NI11" s="26"/>
      <c r="NJ11" s="27"/>
      <c r="NK11" s="28"/>
      <c r="NL11" s="26"/>
      <c r="NM11" s="26"/>
      <c r="NO11" s="25"/>
      <c r="NP11" s="26"/>
      <c r="NQ11" s="26"/>
      <c r="NR11" s="27"/>
      <c r="NS11" s="28"/>
      <c r="NT11" s="26"/>
      <c r="NU11" s="26"/>
      <c r="NW11" s="25"/>
      <c r="NX11" s="26"/>
      <c r="NY11" s="26"/>
      <c r="NZ11" s="27"/>
      <c r="OA11" s="28"/>
      <c r="OB11" s="26"/>
      <c r="OC11" s="26"/>
      <c r="OE11" s="25"/>
      <c r="OF11" s="26"/>
      <c r="OG11" s="26"/>
      <c r="OH11" s="27"/>
      <c r="OI11" s="28"/>
      <c r="OJ11" s="26"/>
      <c r="OK11" s="26"/>
      <c r="OM11" s="25"/>
      <c r="ON11" s="26"/>
      <c r="OO11" s="26"/>
      <c r="OP11" s="27"/>
      <c r="OQ11" s="28"/>
      <c r="OR11" s="26"/>
      <c r="OS11" s="26"/>
      <c r="OU11" s="25"/>
      <c r="OV11" s="26"/>
      <c r="OW11" s="26"/>
      <c r="OX11" s="27"/>
      <c r="OY11" s="28"/>
      <c r="OZ11" s="26"/>
      <c r="PA11" s="26"/>
      <c r="PC11" s="25"/>
      <c r="PD11" s="26"/>
      <c r="PE11" s="26"/>
      <c r="PF11" s="27"/>
      <c r="PG11" s="28"/>
      <c r="PH11" s="26"/>
      <c r="PI11" s="26"/>
      <c r="PK11" s="25"/>
      <c r="PL11" s="26"/>
      <c r="PM11" s="26"/>
      <c r="PN11" s="27"/>
      <c r="PO11" s="28"/>
      <c r="PP11" s="26"/>
      <c r="PQ11" s="26"/>
      <c r="PS11" s="25"/>
      <c r="PT11" s="26"/>
      <c r="PU11" s="26"/>
      <c r="PV11" s="27"/>
      <c r="PW11" s="28"/>
      <c r="PX11" s="26"/>
      <c r="PY11" s="26"/>
      <c r="QA11" s="25"/>
      <c r="QB11" s="26"/>
      <c r="QC11" s="26"/>
      <c r="QD11" s="27"/>
      <c r="QE11" s="28"/>
      <c r="QF11" s="26"/>
      <c r="QG11" s="26"/>
      <c r="QI11" s="25"/>
      <c r="QJ11" s="26"/>
      <c r="QK11" s="26"/>
      <c r="QL11" s="27"/>
      <c r="QM11" s="28"/>
      <c r="QN11" s="26"/>
      <c r="QO11" s="26"/>
      <c r="QQ11" s="25"/>
      <c r="QR11" s="26"/>
      <c r="QS11" s="26"/>
      <c r="QT11" s="27"/>
      <c r="QU11" s="28"/>
      <c r="QV11" s="26"/>
      <c r="QW11" s="26"/>
      <c r="QY11" s="25"/>
      <c r="QZ11" s="26"/>
      <c r="RA11" s="26"/>
      <c r="RB11" s="27"/>
      <c r="RC11" s="28"/>
      <c r="RD11" s="26"/>
      <c r="RE11" s="26"/>
      <c r="RG11" s="25"/>
      <c r="RH11" s="26"/>
      <c r="RI11" s="26"/>
      <c r="RJ11" s="27"/>
      <c r="RK11" s="28"/>
      <c r="RL11" s="26"/>
      <c r="RM11" s="26"/>
      <c r="RO11" s="25"/>
      <c r="RP11" s="26"/>
      <c r="RQ11" s="26"/>
      <c r="RR11" s="27"/>
      <c r="RS11" s="28"/>
      <c r="RT11" s="26"/>
      <c r="RU11" s="26"/>
      <c r="RW11" s="25"/>
      <c r="RX11" s="26"/>
      <c r="RY11" s="26"/>
      <c r="RZ11" s="27"/>
      <c r="SA11" s="28"/>
      <c r="SB11" s="26"/>
      <c r="SC11" s="26"/>
      <c r="SE11" s="25"/>
      <c r="SF11" s="26"/>
      <c r="SG11" s="26"/>
      <c r="SH11" s="27"/>
      <c r="SI11" s="28"/>
      <c r="SJ11" s="26"/>
      <c r="SK11" s="26"/>
      <c r="SM11" s="25"/>
      <c r="SN11" s="26"/>
      <c r="SO11" s="26"/>
      <c r="SP11" s="27"/>
      <c r="SQ11" s="28"/>
      <c r="SR11" s="26"/>
      <c r="SS11" s="26"/>
      <c r="SU11" s="25"/>
      <c r="SV11" s="26"/>
      <c r="SW11" s="26"/>
      <c r="SX11" s="27"/>
      <c r="SY11" s="28"/>
      <c r="SZ11" s="26"/>
      <c r="TA11" s="26"/>
      <c r="TC11" s="25"/>
      <c r="TD11" s="26"/>
      <c r="TE11" s="26"/>
      <c r="TF11" s="27"/>
      <c r="TG11" s="28"/>
      <c r="TH11" s="26"/>
      <c r="TI11" s="26"/>
      <c r="TK11" s="25"/>
      <c r="TL11" s="26"/>
      <c r="TM11" s="26"/>
      <c r="TN11" s="27"/>
      <c r="TO11" s="28"/>
      <c r="TP11" s="26"/>
      <c r="TQ11" s="26"/>
      <c r="TS11" s="25"/>
      <c r="TT11" s="26"/>
      <c r="TU11" s="26"/>
      <c r="TV11" s="27"/>
      <c r="TW11" s="28"/>
      <c r="TX11" s="26"/>
      <c r="TY11" s="26"/>
      <c r="UA11" s="25"/>
      <c r="UB11" s="26"/>
      <c r="UC11" s="26"/>
      <c r="UD11" s="27"/>
      <c r="UE11" s="28"/>
      <c r="UF11" s="26"/>
      <c r="UG11" s="26"/>
      <c r="UI11" s="25"/>
      <c r="UJ11" s="26"/>
      <c r="UK11" s="26"/>
      <c r="UL11" s="27"/>
      <c r="UM11" s="28"/>
      <c r="UN11" s="26"/>
      <c r="UO11" s="26"/>
      <c r="UQ11" s="25"/>
      <c r="UR11" s="26"/>
      <c r="US11" s="26"/>
      <c r="UT11" s="27"/>
      <c r="UU11" s="28"/>
      <c r="UV11" s="26"/>
      <c r="UW11" s="26"/>
      <c r="UY11" s="25"/>
      <c r="UZ11" s="26"/>
      <c r="VA11" s="26"/>
      <c r="VB11" s="27"/>
      <c r="VC11" s="28"/>
      <c r="VD11" s="26"/>
      <c r="VE11" s="26"/>
      <c r="VG11" s="25"/>
      <c r="VH11" s="26"/>
      <c r="VI11" s="26"/>
      <c r="VJ11" s="27"/>
      <c r="VK11" s="28"/>
      <c r="VL11" s="26"/>
      <c r="VM11" s="26"/>
      <c r="VO11" s="25"/>
      <c r="VP11" s="26"/>
      <c r="VQ11" s="26"/>
      <c r="VR11" s="27"/>
      <c r="VS11" s="28"/>
      <c r="VT11" s="26"/>
      <c r="VU11" s="26"/>
      <c r="VW11" s="25"/>
      <c r="VX11" s="26"/>
      <c r="VY11" s="26"/>
      <c r="VZ11" s="27"/>
      <c r="WA11" s="28"/>
      <c r="WB11" s="26"/>
      <c r="WC11" s="26"/>
      <c r="WE11" s="25"/>
      <c r="WF11" s="26"/>
      <c r="WG11" s="26"/>
      <c r="WH11" s="27"/>
      <c r="WI11" s="28"/>
      <c r="WJ11" s="26"/>
      <c r="WK11" s="26"/>
      <c r="WM11" s="25"/>
      <c r="WN11" s="26"/>
      <c r="WO11" s="26"/>
      <c r="WP11" s="27"/>
      <c r="WQ11" s="28"/>
      <c r="WR11" s="26"/>
      <c r="WS11" s="26"/>
      <c r="WU11" s="25"/>
      <c r="WV11" s="26"/>
      <c r="WW11" s="26"/>
      <c r="WX11" s="27"/>
      <c r="WY11" s="28"/>
      <c r="WZ11" s="26"/>
      <c r="XA11" s="26"/>
      <c r="XC11" s="25"/>
      <c r="XD11" s="26"/>
      <c r="XE11" s="26"/>
      <c r="XF11" s="27"/>
      <c r="XG11" s="28"/>
      <c r="XH11" s="26"/>
      <c r="XI11" s="26"/>
      <c r="XK11" s="25"/>
      <c r="XL11" s="26"/>
      <c r="XM11" s="26"/>
      <c r="XN11" s="27"/>
      <c r="XO11" s="28"/>
      <c r="XP11" s="26"/>
      <c r="XQ11" s="26"/>
      <c r="XS11" s="25"/>
      <c r="XT11" s="26"/>
      <c r="XU11" s="26"/>
      <c r="XV11" s="27"/>
      <c r="XW11" s="28"/>
      <c r="XX11" s="26"/>
      <c r="XY11" s="26"/>
      <c r="YA11" s="25"/>
      <c r="YB11" s="26"/>
      <c r="YC11" s="26"/>
      <c r="YD11" s="27"/>
      <c r="YE11" s="28"/>
      <c r="YF11" s="26"/>
      <c r="YG11" s="26"/>
      <c r="YI11" s="25"/>
      <c r="YJ11" s="26"/>
      <c r="YK11" s="26"/>
      <c r="YL11" s="27"/>
      <c r="YM11" s="28"/>
      <c r="YN11" s="26"/>
      <c r="YO11" s="26"/>
      <c r="YQ11" s="25"/>
      <c r="YR11" s="26"/>
      <c r="YS11" s="26"/>
      <c r="YT11" s="27"/>
      <c r="YU11" s="28"/>
      <c r="YV11" s="26"/>
      <c r="YW11" s="26"/>
      <c r="YY11" s="25"/>
      <c r="YZ11" s="26"/>
      <c r="ZA11" s="26"/>
      <c r="ZB11" s="27"/>
      <c r="ZC11" s="28"/>
      <c r="ZD11" s="26"/>
      <c r="ZE11" s="26"/>
      <c r="ZG11" s="25"/>
      <c r="ZH11" s="26"/>
      <c r="ZI11" s="26"/>
      <c r="ZJ11" s="27"/>
      <c r="ZK11" s="28"/>
      <c r="ZL11" s="26"/>
      <c r="ZM11" s="26"/>
      <c r="ZO11" s="25"/>
      <c r="ZP11" s="26"/>
      <c r="ZQ11" s="26"/>
      <c r="ZR11" s="27"/>
      <c r="ZS11" s="28"/>
      <c r="ZT11" s="26"/>
      <c r="ZU11" s="26"/>
      <c r="ZW11" s="25"/>
      <c r="ZX11" s="26"/>
      <c r="ZY11" s="26"/>
      <c r="ZZ11" s="27"/>
      <c r="AAA11" s="28"/>
      <c r="AAB11" s="26"/>
      <c r="AAC11" s="26"/>
      <c r="AAE11" s="25"/>
      <c r="AAF11" s="26"/>
      <c r="AAG11" s="26"/>
      <c r="AAH11" s="27"/>
      <c r="AAI11" s="28"/>
      <c r="AAJ11" s="26"/>
      <c r="AAK11" s="26"/>
      <c r="AAM11" s="25"/>
      <c r="AAN11" s="26"/>
      <c r="AAO11" s="26"/>
      <c r="AAP11" s="27"/>
      <c r="AAQ11" s="28"/>
      <c r="AAR11" s="26"/>
      <c r="AAS11" s="26"/>
      <c r="AAU11" s="25"/>
      <c r="AAV11" s="26"/>
      <c r="AAW11" s="26"/>
      <c r="AAX11" s="27"/>
      <c r="AAY11" s="28"/>
      <c r="AAZ11" s="26"/>
      <c r="ABA11" s="26"/>
      <c r="ABC11" s="25"/>
      <c r="ABD11" s="26"/>
      <c r="ABE11" s="26"/>
      <c r="ABF11" s="27"/>
      <c r="ABG11" s="28"/>
      <c r="ABH11" s="26"/>
      <c r="ABI11" s="26"/>
      <c r="ABK11" s="25"/>
      <c r="ABL11" s="26"/>
      <c r="ABM11" s="26"/>
      <c r="ABN11" s="27"/>
      <c r="ABO11" s="28"/>
      <c r="ABP11" s="26"/>
      <c r="ABQ11" s="26"/>
      <c r="ABS11" s="25"/>
      <c r="ABT11" s="26"/>
      <c r="ABU11" s="26"/>
      <c r="ABV11" s="27"/>
      <c r="ABW11" s="28"/>
      <c r="ABX11" s="26"/>
      <c r="ABY11" s="26"/>
      <c r="ACA11" s="25"/>
      <c r="ACB11" s="26"/>
      <c r="ACC11" s="26"/>
      <c r="ACD11" s="27"/>
      <c r="ACE11" s="28"/>
      <c r="ACF11" s="26"/>
      <c r="ACG11" s="26"/>
      <c r="ACI11" s="25"/>
      <c r="ACJ11" s="26"/>
      <c r="ACK11" s="26"/>
      <c r="ACL11" s="27"/>
      <c r="ACM11" s="28"/>
      <c r="ACN11" s="26"/>
      <c r="ACO11" s="26"/>
      <c r="ACQ11" s="25"/>
      <c r="ACR11" s="26"/>
      <c r="ACS11" s="26"/>
      <c r="ACT11" s="27"/>
      <c r="ACU11" s="28"/>
      <c r="ACV11" s="26"/>
      <c r="ACW11" s="26"/>
      <c r="ACY11" s="25"/>
      <c r="ACZ11" s="26"/>
      <c r="ADA11" s="26"/>
      <c r="ADB11" s="27"/>
      <c r="ADC11" s="28"/>
      <c r="ADD11" s="26"/>
      <c r="ADE11" s="26"/>
      <c r="ADG11" s="25"/>
      <c r="ADH11" s="26"/>
      <c r="ADI11" s="26"/>
      <c r="ADJ11" s="27"/>
      <c r="ADK11" s="28"/>
      <c r="ADL11" s="26"/>
      <c r="ADM11" s="26"/>
      <c r="ADO11" s="25"/>
      <c r="ADP11" s="26"/>
      <c r="ADQ11" s="26"/>
      <c r="ADR11" s="27"/>
      <c r="ADS11" s="28"/>
      <c r="ADT11" s="26"/>
      <c r="ADU11" s="26"/>
      <c r="ADW11" s="25"/>
      <c r="ADX11" s="26"/>
      <c r="ADY11" s="26"/>
      <c r="ADZ11" s="27"/>
      <c r="AEA11" s="28"/>
      <c r="AEB11" s="26"/>
      <c r="AEC11" s="26"/>
      <c r="AEE11" s="25"/>
      <c r="AEF11" s="26"/>
      <c r="AEG11" s="26"/>
      <c r="AEH11" s="27"/>
      <c r="AEI11" s="28"/>
      <c r="AEJ11" s="26"/>
      <c r="AEK11" s="26"/>
      <c r="AEM11" s="25"/>
      <c r="AEN11" s="26"/>
      <c r="AEO11" s="26"/>
      <c r="AEP11" s="27"/>
      <c r="AEQ11" s="28"/>
      <c r="AER11" s="26"/>
      <c r="AES11" s="26"/>
      <c r="AEU11" s="25"/>
      <c r="AEV11" s="26"/>
      <c r="AEW11" s="26"/>
      <c r="AEX11" s="27"/>
      <c r="AEY11" s="28"/>
      <c r="AEZ11" s="26"/>
      <c r="AFA11" s="26"/>
      <c r="AFC11" s="25"/>
      <c r="AFD11" s="26"/>
      <c r="AFE11" s="26"/>
      <c r="AFF11" s="27"/>
      <c r="AFG11" s="28"/>
      <c r="AFH11" s="26"/>
      <c r="AFI11" s="26"/>
      <c r="AFK11" s="25"/>
      <c r="AFL11" s="26"/>
      <c r="AFM11" s="26"/>
      <c r="AFN11" s="27"/>
      <c r="AFO11" s="28"/>
      <c r="AFP11" s="26"/>
      <c r="AFQ11" s="26"/>
      <c r="AFS11" s="25"/>
      <c r="AFT11" s="26"/>
      <c r="AFU11" s="26"/>
      <c r="AFV11" s="27"/>
      <c r="AFW11" s="28"/>
      <c r="AFX11" s="26"/>
      <c r="AFY11" s="26"/>
      <c r="AGA11" s="25"/>
      <c r="AGB11" s="26"/>
      <c r="AGC11" s="26"/>
      <c r="AGD11" s="27"/>
      <c r="AGE11" s="28"/>
      <c r="AGF11" s="26"/>
      <c r="AGG11" s="26"/>
      <c r="AGI11" s="25"/>
      <c r="AGJ11" s="26"/>
      <c r="AGK11" s="26"/>
      <c r="AGL11" s="27"/>
      <c r="AGM11" s="28"/>
      <c r="AGN11" s="26"/>
      <c r="AGO11" s="26"/>
      <c r="AGQ11" s="25"/>
      <c r="AGR11" s="26"/>
      <c r="AGS11" s="26"/>
      <c r="AGT11" s="27"/>
      <c r="AGU11" s="28"/>
      <c r="AGV11" s="26"/>
      <c r="AGW11" s="26"/>
      <c r="AGY11" s="25"/>
      <c r="AGZ11" s="26"/>
      <c r="AHA11" s="26"/>
      <c r="AHB11" s="27"/>
      <c r="AHC11" s="28"/>
      <c r="AHD11" s="26"/>
      <c r="AHE11" s="26"/>
      <c r="AHG11" s="25"/>
      <c r="AHH11" s="26"/>
      <c r="AHI11" s="26"/>
      <c r="AHJ11" s="27"/>
      <c r="AHK11" s="28"/>
      <c r="AHL11" s="26"/>
      <c r="AHM11" s="26"/>
      <c r="AHO11" s="25"/>
      <c r="AHP11" s="26"/>
      <c r="AHQ11" s="26"/>
      <c r="AHR11" s="27"/>
      <c r="AHS11" s="28"/>
      <c r="AHT11" s="26"/>
      <c r="AHU11" s="26"/>
      <c r="AHW11" s="25"/>
      <c r="AHX11" s="26"/>
      <c r="AHY11" s="26"/>
      <c r="AHZ11" s="27"/>
      <c r="AIA11" s="28"/>
      <c r="AIB11" s="26"/>
      <c r="AIC11" s="26"/>
      <c r="AIE11" s="25"/>
      <c r="AIF11" s="26"/>
      <c r="AIG11" s="26"/>
      <c r="AIH11" s="27"/>
      <c r="AII11" s="28"/>
      <c r="AIJ11" s="26"/>
      <c r="AIK11" s="26"/>
      <c r="AIM11" s="25"/>
      <c r="AIN11" s="26"/>
      <c r="AIO11" s="26"/>
      <c r="AIP11" s="27"/>
      <c r="AIQ11" s="28"/>
      <c r="AIR11" s="26"/>
      <c r="AIS11" s="26"/>
      <c r="AIU11" s="25"/>
      <c r="AIV11" s="26"/>
      <c r="AIW11" s="26"/>
      <c r="AIX11" s="27"/>
      <c r="AIY11" s="28"/>
      <c r="AIZ11" s="26"/>
      <c r="AJA11" s="26"/>
      <c r="AJC11" s="25"/>
      <c r="AJD11" s="26"/>
      <c r="AJE11" s="26"/>
      <c r="AJF11" s="27"/>
      <c r="AJG11" s="28"/>
      <c r="AJH11" s="26"/>
      <c r="AJI11" s="26"/>
      <c r="AJK11" s="25"/>
      <c r="AJL11" s="26"/>
      <c r="AJM11" s="26"/>
      <c r="AJN11" s="27"/>
      <c r="AJO11" s="28"/>
      <c r="AJP11" s="26"/>
      <c r="AJQ11" s="26"/>
      <c r="AJS11" s="25"/>
      <c r="AJT11" s="26"/>
      <c r="AJU11" s="26"/>
      <c r="AJV11" s="27"/>
      <c r="AJW11" s="28"/>
      <c r="AJX11" s="26"/>
      <c r="AJY11" s="26"/>
      <c r="AKA11" s="25"/>
      <c r="AKB11" s="26"/>
      <c r="AKC11" s="26"/>
      <c r="AKD11" s="27"/>
      <c r="AKE11" s="28"/>
      <c r="AKF11" s="26"/>
      <c r="AKG11" s="26"/>
      <c r="AKI11" s="25"/>
      <c r="AKJ11" s="26"/>
      <c r="AKK11" s="26"/>
      <c r="AKL11" s="27"/>
      <c r="AKM11" s="28"/>
      <c r="AKN11" s="26"/>
      <c r="AKO11" s="26"/>
      <c r="AKQ11" s="25"/>
      <c r="AKR11" s="26"/>
      <c r="AKS11" s="26"/>
      <c r="AKT11" s="27"/>
      <c r="AKU11" s="28"/>
      <c r="AKV11" s="26"/>
      <c r="AKW11" s="26"/>
      <c r="AKY11" s="25"/>
      <c r="AKZ11" s="26"/>
      <c r="ALA11" s="26"/>
      <c r="ALB11" s="27"/>
      <c r="ALC11" s="28"/>
      <c r="ALD11" s="26"/>
      <c r="ALE11" s="26"/>
      <c r="ALG11" s="25"/>
      <c r="ALH11" s="26"/>
      <c r="ALI11" s="26"/>
      <c r="ALJ11" s="27"/>
      <c r="ALK11" s="28"/>
      <c r="ALL11" s="26"/>
      <c r="ALM11" s="26"/>
      <c r="ALO11" s="25"/>
      <c r="ALP11" s="26"/>
      <c r="ALQ11" s="26"/>
      <c r="ALR11" s="27"/>
      <c r="ALS11" s="28"/>
      <c r="ALT11" s="26"/>
      <c r="ALU11" s="26"/>
      <c r="ALW11" s="25"/>
      <c r="ALX11" s="26"/>
      <c r="ALY11" s="26"/>
      <c r="ALZ11" s="27"/>
      <c r="AMA11" s="28"/>
      <c r="AMB11" s="26"/>
      <c r="AMC11" s="26"/>
      <c r="AME11" s="25"/>
      <c r="AMF11" s="26"/>
      <c r="AMG11" s="26"/>
      <c r="AMH11" s="27"/>
      <c r="AMI11" s="28"/>
      <c r="AMJ11" s="26"/>
      <c r="AMK11" s="26"/>
      <c r="AMM11" s="25"/>
      <c r="AMN11" s="26"/>
      <c r="AMO11" s="26"/>
      <c r="AMP11" s="27"/>
      <c r="AMQ11" s="28"/>
      <c r="AMR11" s="26"/>
      <c r="AMS11" s="26"/>
      <c r="AMU11" s="25"/>
      <c r="AMV11" s="26"/>
      <c r="AMW11" s="26"/>
      <c r="AMX11" s="27"/>
      <c r="AMY11" s="28"/>
      <c r="AMZ11" s="26"/>
      <c r="ANA11" s="26"/>
      <c r="ANC11" s="25"/>
      <c r="AND11" s="26"/>
      <c r="ANE11" s="26"/>
      <c r="ANF11" s="27"/>
      <c r="ANG11" s="28"/>
      <c r="ANH11" s="26"/>
      <c r="ANI11" s="26"/>
      <c r="ANK11" s="25"/>
      <c r="ANL11" s="26"/>
      <c r="ANM11" s="26"/>
      <c r="ANN11" s="27"/>
      <c r="ANO11" s="28"/>
      <c r="ANP11" s="26"/>
      <c r="ANQ11" s="26"/>
      <c r="ANS11" s="25"/>
      <c r="ANT11" s="26"/>
      <c r="ANU11" s="26"/>
      <c r="ANV11" s="27"/>
      <c r="ANW11" s="28"/>
      <c r="ANX11" s="26"/>
      <c r="ANY11" s="26"/>
      <c r="AOA11" s="25"/>
      <c r="AOB11" s="26"/>
      <c r="AOC11" s="26"/>
      <c r="AOD11" s="27"/>
      <c r="AOE11" s="28"/>
      <c r="AOF11" s="26"/>
      <c r="AOG11" s="26"/>
      <c r="AOI11" s="25"/>
      <c r="AOJ11" s="26"/>
      <c r="AOK11" s="26"/>
      <c r="AOL11" s="27"/>
      <c r="AOM11" s="28"/>
      <c r="AON11" s="26"/>
      <c r="AOO11" s="26"/>
      <c r="AOQ11" s="25"/>
      <c r="AOR11" s="26"/>
      <c r="AOS11" s="26"/>
      <c r="AOT11" s="27"/>
      <c r="AOU11" s="28"/>
      <c r="AOV11" s="26"/>
      <c r="AOW11" s="26"/>
      <c r="AOY11" s="25"/>
      <c r="AOZ11" s="26"/>
      <c r="APA11" s="26"/>
      <c r="APB11" s="27"/>
      <c r="APC11" s="28"/>
      <c r="APD11" s="26"/>
      <c r="APE11" s="26"/>
      <c r="APG11" s="25"/>
      <c r="APH11" s="26"/>
      <c r="API11" s="26"/>
      <c r="APJ11" s="27"/>
      <c r="APK11" s="28"/>
      <c r="APL11" s="26"/>
      <c r="APM11" s="26"/>
      <c r="APO11" s="25"/>
      <c r="APP11" s="26"/>
      <c r="APQ11" s="26"/>
      <c r="APR11" s="27"/>
      <c r="APS11" s="28"/>
      <c r="APT11" s="26"/>
      <c r="APU11" s="26"/>
      <c r="APW11" s="25"/>
      <c r="APX11" s="26"/>
      <c r="APY11" s="26"/>
      <c r="APZ11" s="27"/>
      <c r="AQA11" s="28"/>
      <c r="AQB11" s="26"/>
      <c r="AQC11" s="26"/>
      <c r="AQE11" s="25"/>
      <c r="AQF11" s="26"/>
      <c r="AQG11" s="26"/>
      <c r="AQH11" s="27"/>
      <c r="AQI11" s="28"/>
      <c r="AQJ11" s="26"/>
      <c r="AQK11" s="26"/>
      <c r="AQM11" s="25"/>
      <c r="AQN11" s="26"/>
      <c r="AQO11" s="26"/>
      <c r="AQP11" s="27"/>
      <c r="AQQ11" s="28"/>
      <c r="AQR11" s="26"/>
      <c r="AQS11" s="26"/>
      <c r="AQU11" s="25"/>
      <c r="AQV11" s="26"/>
      <c r="AQW11" s="26"/>
      <c r="AQX11" s="27"/>
      <c r="AQY11" s="28"/>
      <c r="AQZ11" s="26"/>
      <c r="ARA11" s="26"/>
      <c r="ARC11" s="25"/>
      <c r="ARD11" s="26"/>
      <c r="ARE11" s="26"/>
      <c r="ARF11" s="27"/>
      <c r="ARG11" s="28"/>
      <c r="ARH11" s="26"/>
      <c r="ARI11" s="26"/>
      <c r="ARK11" s="25"/>
      <c r="ARL11" s="26"/>
      <c r="ARM11" s="26"/>
      <c r="ARN11" s="27"/>
      <c r="ARO11" s="28"/>
      <c r="ARP11" s="26"/>
      <c r="ARQ11" s="26"/>
      <c r="ARS11" s="25"/>
      <c r="ART11" s="26"/>
      <c r="ARU11" s="26"/>
      <c r="ARV11" s="27"/>
      <c r="ARW11" s="28"/>
      <c r="ARX11" s="26"/>
      <c r="ARY11" s="26"/>
      <c r="ASA11" s="25"/>
      <c r="ASB11" s="26"/>
      <c r="ASC11" s="26"/>
      <c r="ASD11" s="27"/>
      <c r="ASE11" s="28"/>
      <c r="ASF11" s="26"/>
      <c r="ASG11" s="26"/>
      <c r="ASI11" s="25"/>
      <c r="ASJ11" s="26"/>
      <c r="ASK11" s="26"/>
      <c r="ASL11" s="27"/>
      <c r="ASM11" s="28"/>
      <c r="ASN11" s="26"/>
      <c r="ASO11" s="26"/>
      <c r="ASQ11" s="25"/>
      <c r="ASR11" s="26"/>
      <c r="ASS11" s="26"/>
      <c r="AST11" s="27"/>
      <c r="ASU11" s="28"/>
      <c r="ASV11" s="26"/>
      <c r="ASW11" s="26"/>
      <c r="ASY11" s="25"/>
      <c r="ASZ11" s="26"/>
      <c r="ATA11" s="26"/>
      <c r="ATB11" s="27"/>
      <c r="ATC11" s="28"/>
      <c r="ATD11" s="26"/>
      <c r="ATE11" s="26"/>
      <c r="ATG11" s="25"/>
      <c r="ATH11" s="26"/>
      <c r="ATI11" s="26"/>
      <c r="ATJ11" s="27"/>
      <c r="ATK11" s="28"/>
      <c r="ATL11" s="26"/>
      <c r="ATM11" s="26"/>
      <c r="ATO11" s="25"/>
      <c r="ATP11" s="26"/>
      <c r="ATQ11" s="26"/>
      <c r="ATR11" s="27"/>
      <c r="ATS11" s="28"/>
      <c r="ATT11" s="26"/>
      <c r="ATU11" s="26"/>
      <c r="ATW11" s="25"/>
      <c r="ATX11" s="26"/>
      <c r="ATY11" s="26"/>
      <c r="ATZ11" s="27"/>
      <c r="AUA11" s="28"/>
      <c r="AUB11" s="26"/>
      <c r="AUC11" s="26"/>
      <c r="AUE11" s="25"/>
      <c r="AUF11" s="26"/>
      <c r="AUG11" s="26"/>
      <c r="AUH11" s="27"/>
      <c r="AUI11" s="28"/>
      <c r="AUJ11" s="26"/>
      <c r="AUK11" s="26"/>
      <c r="AUM11" s="25"/>
      <c r="AUN11" s="26"/>
      <c r="AUO11" s="26"/>
      <c r="AUP11" s="27"/>
      <c r="AUQ11" s="28"/>
      <c r="AUR11" s="26"/>
      <c r="AUS11" s="26"/>
      <c r="AUU11" s="25"/>
      <c r="AUV11" s="26"/>
      <c r="AUW11" s="26"/>
      <c r="AUX11" s="27"/>
      <c r="AUY11" s="28"/>
      <c r="AUZ11" s="26"/>
      <c r="AVA11" s="26"/>
      <c r="AVC11" s="25"/>
      <c r="AVD11" s="26"/>
      <c r="AVE11" s="26"/>
      <c r="AVF11" s="27"/>
      <c r="AVG11" s="28"/>
      <c r="AVH11" s="26"/>
      <c r="AVI11" s="26"/>
      <c r="AVK11" s="25"/>
      <c r="AVL11" s="26"/>
      <c r="AVM11" s="26"/>
      <c r="AVN11" s="27"/>
      <c r="AVO11" s="28"/>
      <c r="AVP11" s="26"/>
      <c r="AVQ11" s="26"/>
      <c r="AVS11" s="25"/>
      <c r="AVT11" s="26"/>
      <c r="AVU11" s="26"/>
      <c r="AVV11" s="27"/>
      <c r="AVW11" s="28"/>
      <c r="AVX11" s="26"/>
      <c r="AVY11" s="26"/>
      <c r="AWA11" s="25"/>
      <c r="AWB11" s="26"/>
      <c r="AWC11" s="26"/>
      <c r="AWD11" s="27"/>
      <c r="AWE11" s="28"/>
      <c r="AWF11" s="26"/>
      <c r="AWG11" s="26"/>
      <c r="AWI11" s="25"/>
      <c r="AWJ11" s="26"/>
      <c r="AWK11" s="26"/>
      <c r="AWL11" s="27"/>
      <c r="AWM11" s="28"/>
      <c r="AWN11" s="26"/>
      <c r="AWO11" s="26"/>
      <c r="AWQ11" s="25"/>
      <c r="AWR11" s="26"/>
      <c r="AWS11" s="26"/>
      <c r="AWT11" s="27"/>
      <c r="AWU11" s="28"/>
      <c r="AWV11" s="26"/>
      <c r="AWW11" s="26"/>
      <c r="AWY11" s="25"/>
      <c r="AWZ11" s="26"/>
      <c r="AXA11" s="26"/>
      <c r="AXB11" s="27"/>
      <c r="AXC11" s="28"/>
      <c r="AXD11" s="26"/>
      <c r="AXE11" s="26"/>
      <c r="AXG11" s="25"/>
      <c r="AXH11" s="26"/>
      <c r="AXI11" s="26"/>
      <c r="AXJ11" s="27"/>
      <c r="AXK11" s="28"/>
      <c r="AXL11" s="26"/>
      <c r="AXM11" s="26"/>
      <c r="AXO11" s="25"/>
      <c r="AXP11" s="26"/>
      <c r="AXQ11" s="26"/>
      <c r="AXR11" s="27"/>
      <c r="AXS11" s="28"/>
      <c r="AXT11" s="26"/>
      <c r="AXU11" s="26"/>
      <c r="AXW11" s="25"/>
      <c r="AXX11" s="26"/>
      <c r="AXY11" s="26"/>
      <c r="AXZ11" s="27"/>
      <c r="AYA11" s="28"/>
      <c r="AYB11" s="26"/>
      <c r="AYC11" s="26"/>
      <c r="AYE11" s="25"/>
      <c r="AYF11" s="26"/>
      <c r="AYG11" s="26"/>
      <c r="AYH11" s="27"/>
      <c r="AYI11" s="28"/>
      <c r="AYJ11" s="26"/>
      <c r="AYK11" s="26"/>
      <c r="AYM11" s="25"/>
      <c r="AYN11" s="26"/>
      <c r="AYO11" s="26"/>
      <c r="AYP11" s="27"/>
      <c r="AYQ11" s="28"/>
      <c r="AYR11" s="26"/>
      <c r="AYS11" s="26"/>
      <c r="AYU11" s="25"/>
      <c r="AYV11" s="26"/>
      <c r="AYW11" s="26"/>
      <c r="AYX11" s="27"/>
      <c r="AYY11" s="28"/>
      <c r="AYZ11" s="26"/>
      <c r="AZA11" s="26"/>
      <c r="AZC11" s="25"/>
      <c r="AZD11" s="26"/>
      <c r="AZE11" s="26"/>
      <c r="AZF11" s="27"/>
      <c r="AZG11" s="28"/>
      <c r="AZH11" s="26"/>
      <c r="AZI11" s="26"/>
      <c r="AZK11" s="25"/>
      <c r="AZL11" s="26"/>
      <c r="AZM11" s="26"/>
      <c r="AZN11" s="27"/>
      <c r="AZO11" s="28"/>
      <c r="AZP11" s="26"/>
      <c r="AZQ11" s="26"/>
      <c r="AZS11" s="25"/>
      <c r="AZT11" s="26"/>
      <c r="AZU11" s="26"/>
      <c r="AZV11" s="27"/>
      <c r="AZW11" s="28"/>
      <c r="AZX11" s="26"/>
      <c r="AZY11" s="26"/>
      <c r="BAA11" s="25"/>
      <c r="BAB11" s="26"/>
      <c r="BAC11" s="26"/>
      <c r="BAD11" s="27"/>
      <c r="BAE11" s="28"/>
      <c r="BAF11" s="26"/>
      <c r="BAG11" s="26"/>
      <c r="BAI11" s="25"/>
      <c r="BAJ11" s="26"/>
      <c r="BAK11" s="26"/>
      <c r="BAL11" s="27"/>
      <c r="BAM11" s="28"/>
      <c r="BAN11" s="26"/>
      <c r="BAO11" s="26"/>
      <c r="BAQ11" s="25"/>
      <c r="BAR11" s="26"/>
      <c r="BAS11" s="26"/>
      <c r="BAT11" s="27"/>
      <c r="BAU11" s="28"/>
      <c r="BAV11" s="26"/>
      <c r="BAW11" s="26"/>
      <c r="BAY11" s="25"/>
      <c r="BAZ11" s="26"/>
      <c r="BBA11" s="26"/>
      <c r="BBB11" s="27"/>
      <c r="BBC11" s="28"/>
      <c r="BBD11" s="26"/>
      <c r="BBE11" s="26"/>
      <c r="BBG11" s="25"/>
      <c r="BBH11" s="26"/>
      <c r="BBI11" s="26"/>
      <c r="BBJ11" s="27"/>
      <c r="BBK11" s="28"/>
      <c r="BBL11" s="26"/>
      <c r="BBM11" s="26"/>
      <c r="BBO11" s="25"/>
      <c r="BBP11" s="26"/>
      <c r="BBQ11" s="26"/>
      <c r="BBR11" s="27"/>
      <c r="BBS11" s="28"/>
      <c r="BBT11" s="26"/>
      <c r="BBU11" s="26"/>
      <c r="BBW11" s="25"/>
      <c r="BBX11" s="26"/>
      <c r="BBY11" s="26"/>
      <c r="BBZ11" s="27"/>
      <c r="BCA11" s="28"/>
      <c r="BCB11" s="26"/>
      <c r="BCC11" s="26"/>
      <c r="BCE11" s="25"/>
      <c r="BCF11" s="26"/>
      <c r="BCG11" s="26"/>
      <c r="BCH11" s="27"/>
      <c r="BCI11" s="28"/>
      <c r="BCJ11" s="26"/>
      <c r="BCK11" s="26"/>
      <c r="BCM11" s="25"/>
      <c r="BCN11" s="26"/>
      <c r="BCO11" s="26"/>
      <c r="BCP11" s="27"/>
      <c r="BCQ11" s="28"/>
      <c r="BCR11" s="26"/>
      <c r="BCS11" s="26"/>
      <c r="BCU11" s="25"/>
      <c r="BCV11" s="26"/>
      <c r="BCW11" s="26"/>
      <c r="BCX11" s="27"/>
      <c r="BCY11" s="28"/>
      <c r="BCZ11" s="26"/>
      <c r="BDA11" s="26"/>
      <c r="BDC11" s="25"/>
      <c r="BDD11" s="26"/>
      <c r="BDE11" s="26"/>
      <c r="BDF11" s="27"/>
      <c r="BDG11" s="28"/>
      <c r="BDH11" s="26"/>
      <c r="BDI11" s="26"/>
      <c r="BDK11" s="25"/>
      <c r="BDL11" s="26"/>
      <c r="BDM11" s="26"/>
      <c r="BDN11" s="27"/>
      <c r="BDO11" s="28"/>
      <c r="BDP11" s="26"/>
      <c r="BDQ11" s="26"/>
      <c r="BDS11" s="25"/>
      <c r="BDT11" s="26"/>
      <c r="BDU11" s="26"/>
      <c r="BDV11" s="27"/>
      <c r="BDW11" s="28"/>
      <c r="BDX11" s="26"/>
      <c r="BDY11" s="26"/>
      <c r="BEA11" s="25"/>
      <c r="BEB11" s="26"/>
      <c r="BEC11" s="26"/>
      <c r="BED11" s="27"/>
      <c r="BEE11" s="28"/>
      <c r="BEF11" s="26"/>
      <c r="BEG11" s="26"/>
      <c r="BEI11" s="25"/>
      <c r="BEJ11" s="26"/>
      <c r="BEK11" s="26"/>
      <c r="BEL11" s="27"/>
      <c r="BEM11" s="28"/>
      <c r="BEN11" s="26"/>
      <c r="BEO11" s="26"/>
      <c r="BEQ11" s="25"/>
      <c r="BER11" s="26"/>
      <c r="BES11" s="26"/>
      <c r="BET11" s="27"/>
      <c r="BEU11" s="28"/>
      <c r="BEV11" s="26"/>
      <c r="BEW11" s="26"/>
      <c r="BEY11" s="25"/>
      <c r="BEZ11" s="26"/>
      <c r="BFA11" s="26"/>
      <c r="BFB11" s="27"/>
      <c r="BFC11" s="28"/>
      <c r="BFD11" s="26"/>
      <c r="BFE11" s="26"/>
      <c r="BFG11" s="25"/>
      <c r="BFH11" s="26"/>
      <c r="BFI11" s="26"/>
      <c r="BFJ11" s="27"/>
      <c r="BFK11" s="28"/>
      <c r="BFL11" s="26"/>
      <c r="BFM11" s="26"/>
      <c r="BFO11" s="25"/>
      <c r="BFP11" s="26"/>
      <c r="BFQ11" s="26"/>
      <c r="BFR11" s="27"/>
      <c r="BFS11" s="28"/>
      <c r="BFT11" s="26"/>
      <c r="BFU11" s="26"/>
      <c r="BFW11" s="25"/>
      <c r="BFX11" s="26"/>
      <c r="BFY11" s="26"/>
      <c r="BFZ11" s="27"/>
      <c r="BGA11" s="28"/>
      <c r="BGB11" s="26"/>
      <c r="BGC11" s="26"/>
      <c r="BGE11" s="25"/>
      <c r="BGF11" s="26"/>
      <c r="BGG11" s="26"/>
      <c r="BGH11" s="27"/>
      <c r="BGI11" s="28"/>
      <c r="BGJ11" s="26"/>
      <c r="BGK11" s="26"/>
      <c r="BGM11" s="25"/>
      <c r="BGN11" s="26"/>
      <c r="BGO11" s="26"/>
      <c r="BGP11" s="27"/>
      <c r="BGQ11" s="28"/>
      <c r="BGR11" s="26"/>
      <c r="BGS11" s="26"/>
      <c r="BGU11" s="25"/>
      <c r="BGV11" s="26"/>
      <c r="BGW11" s="26"/>
      <c r="BGX11" s="27"/>
      <c r="BGY11" s="28"/>
      <c r="BGZ11" s="26"/>
      <c r="BHA11" s="26"/>
      <c r="BHC11" s="25"/>
      <c r="BHD11" s="26"/>
      <c r="BHE11" s="26"/>
      <c r="BHF11" s="27"/>
      <c r="BHG11" s="28"/>
      <c r="BHH11" s="26"/>
      <c r="BHI11" s="26"/>
      <c r="BHK11" s="25"/>
      <c r="BHL11" s="26"/>
      <c r="BHM11" s="26"/>
      <c r="BHN11" s="27"/>
      <c r="BHO11" s="28"/>
      <c r="BHP11" s="26"/>
      <c r="BHQ11" s="26"/>
      <c r="BHS11" s="25"/>
      <c r="BHT11" s="26"/>
      <c r="BHU11" s="26"/>
      <c r="BHV11" s="27"/>
      <c r="BHW11" s="28"/>
      <c r="BHX11" s="26"/>
      <c r="BHY11" s="26"/>
      <c r="BIA11" s="25"/>
      <c r="BIB11" s="26"/>
      <c r="BIC11" s="26"/>
      <c r="BID11" s="27"/>
      <c r="BIE11" s="28"/>
      <c r="BIF11" s="26"/>
      <c r="BIG11" s="26"/>
      <c r="BII11" s="25"/>
      <c r="BIJ11" s="26"/>
      <c r="BIK11" s="26"/>
      <c r="BIL11" s="27"/>
      <c r="BIM11" s="28"/>
      <c r="BIN11" s="26"/>
      <c r="BIO11" s="26"/>
      <c r="BIQ11" s="25"/>
      <c r="BIR11" s="26"/>
      <c r="BIS11" s="26"/>
      <c r="BIT11" s="27"/>
      <c r="BIU11" s="28"/>
      <c r="BIV11" s="26"/>
      <c r="BIW11" s="26"/>
      <c r="BIY11" s="25"/>
      <c r="BIZ11" s="26"/>
      <c r="BJA11" s="26"/>
      <c r="BJB11" s="27"/>
      <c r="BJC11" s="28"/>
      <c r="BJD11" s="26"/>
      <c r="BJE11" s="26"/>
      <c r="BJG11" s="25"/>
      <c r="BJH11" s="26"/>
      <c r="BJI11" s="26"/>
      <c r="BJJ11" s="27"/>
      <c r="BJK11" s="28"/>
      <c r="BJL11" s="26"/>
      <c r="BJM11" s="26"/>
      <c r="BJO11" s="25"/>
      <c r="BJP11" s="26"/>
      <c r="BJQ11" s="26"/>
      <c r="BJR11" s="27"/>
      <c r="BJS11" s="28"/>
      <c r="BJT11" s="26"/>
      <c r="BJU11" s="26"/>
      <c r="BJW11" s="25"/>
      <c r="BJX11" s="26"/>
      <c r="BJY11" s="26"/>
      <c r="BJZ11" s="27"/>
      <c r="BKA11" s="28"/>
      <c r="BKB11" s="26"/>
      <c r="BKC11" s="26"/>
      <c r="BKE11" s="25"/>
      <c r="BKF11" s="26"/>
      <c r="BKG11" s="26"/>
      <c r="BKH11" s="27"/>
      <c r="BKI11" s="28"/>
      <c r="BKJ11" s="26"/>
      <c r="BKK11" s="26"/>
      <c r="BKM11" s="25"/>
      <c r="BKN11" s="26"/>
      <c r="BKO11" s="26"/>
      <c r="BKP11" s="27"/>
      <c r="BKQ11" s="28"/>
      <c r="BKR11" s="26"/>
      <c r="BKS11" s="26"/>
      <c r="BKU11" s="25"/>
      <c r="BKV11" s="26"/>
      <c r="BKW11" s="26"/>
      <c r="BKX11" s="27"/>
      <c r="BKY11" s="28"/>
      <c r="BKZ11" s="26"/>
      <c r="BLA11" s="26"/>
      <c r="BLC11" s="25"/>
      <c r="BLD11" s="26"/>
      <c r="BLE11" s="26"/>
      <c r="BLF11" s="27"/>
      <c r="BLG11" s="28"/>
      <c r="BLH11" s="26"/>
      <c r="BLI11" s="26"/>
      <c r="BLK11" s="25"/>
      <c r="BLL11" s="26"/>
      <c r="BLM11" s="26"/>
      <c r="BLN11" s="27"/>
      <c r="BLO11" s="28"/>
      <c r="BLP11" s="26"/>
      <c r="BLQ11" s="26"/>
      <c r="BLS11" s="25"/>
      <c r="BLT11" s="26"/>
      <c r="BLU11" s="26"/>
      <c r="BLV11" s="27"/>
      <c r="BLW11" s="28"/>
      <c r="BLX11" s="26"/>
      <c r="BLY11" s="26"/>
      <c r="BMA11" s="25"/>
      <c r="BMB11" s="26"/>
      <c r="BMC11" s="26"/>
      <c r="BMD11" s="27"/>
      <c r="BME11" s="28"/>
      <c r="BMF11" s="26"/>
      <c r="BMG11" s="26"/>
      <c r="BMI11" s="25"/>
      <c r="BMJ11" s="26"/>
      <c r="BMK11" s="26"/>
      <c r="BML11" s="27"/>
      <c r="BMM11" s="28"/>
      <c r="BMN11" s="26"/>
      <c r="BMO11" s="26"/>
      <c r="BMQ11" s="25"/>
      <c r="BMR11" s="26"/>
      <c r="BMS11" s="26"/>
      <c r="BMT11" s="27"/>
      <c r="BMU11" s="28"/>
      <c r="BMV11" s="26"/>
      <c r="BMW11" s="26"/>
      <c r="BMY11" s="25"/>
      <c r="BMZ11" s="26"/>
      <c r="BNA11" s="26"/>
      <c r="BNB11" s="27"/>
      <c r="BNC11" s="28"/>
      <c r="BND11" s="26"/>
      <c r="BNE11" s="26"/>
      <c r="BNG11" s="25"/>
      <c r="BNH11" s="26"/>
      <c r="BNI11" s="26"/>
      <c r="BNJ11" s="27"/>
      <c r="BNK11" s="28"/>
      <c r="BNL11" s="26"/>
      <c r="BNM11" s="26"/>
      <c r="BNO11" s="25"/>
      <c r="BNP11" s="26"/>
      <c r="BNQ11" s="26"/>
      <c r="BNR11" s="27"/>
      <c r="BNS11" s="28"/>
      <c r="BNT11" s="26"/>
      <c r="BNU11" s="26"/>
      <c r="BNW11" s="25"/>
      <c r="BNX11" s="26"/>
      <c r="BNY11" s="26"/>
      <c r="BNZ11" s="27"/>
      <c r="BOA11" s="28"/>
      <c r="BOB11" s="26"/>
      <c r="BOC11" s="26"/>
      <c r="BOE11" s="25"/>
      <c r="BOF11" s="26"/>
      <c r="BOG11" s="26"/>
      <c r="BOH11" s="27"/>
      <c r="BOI11" s="28"/>
      <c r="BOJ11" s="26"/>
      <c r="BOK11" s="26"/>
      <c r="BOM11" s="25"/>
      <c r="BON11" s="26"/>
      <c r="BOO11" s="26"/>
      <c r="BOP11" s="27"/>
      <c r="BOQ11" s="28"/>
      <c r="BOR11" s="26"/>
      <c r="BOS11" s="26"/>
      <c r="BOU11" s="25"/>
      <c r="BOV11" s="26"/>
      <c r="BOW11" s="26"/>
      <c r="BOX11" s="27"/>
      <c r="BOY11" s="28"/>
      <c r="BOZ11" s="26"/>
      <c r="BPA11" s="26"/>
      <c r="BPC11" s="25"/>
      <c r="BPD11" s="26"/>
      <c r="BPE11" s="26"/>
      <c r="BPF11" s="27"/>
      <c r="BPG11" s="28"/>
      <c r="BPH11" s="26"/>
      <c r="BPI11" s="26"/>
      <c r="BPK11" s="25"/>
      <c r="BPL11" s="26"/>
      <c r="BPM11" s="26"/>
      <c r="BPN11" s="27"/>
      <c r="BPO11" s="28"/>
      <c r="BPP11" s="26"/>
      <c r="BPQ11" s="26"/>
      <c r="BPS11" s="25"/>
      <c r="BPT11" s="26"/>
      <c r="BPU11" s="26"/>
      <c r="BPV11" s="27"/>
      <c r="BPW11" s="28"/>
      <c r="BPX11" s="26"/>
      <c r="BPY11" s="26"/>
      <c r="BQA11" s="25"/>
      <c r="BQB11" s="26"/>
      <c r="BQC11" s="26"/>
      <c r="BQD11" s="27"/>
      <c r="BQE11" s="28"/>
      <c r="BQF11" s="26"/>
      <c r="BQG11" s="26"/>
      <c r="BQI11" s="25"/>
      <c r="BQJ11" s="26"/>
      <c r="BQK11" s="26"/>
      <c r="BQL11" s="27"/>
      <c r="BQM11" s="28"/>
      <c r="BQN11" s="26"/>
      <c r="BQO11" s="26"/>
      <c r="BQQ11" s="25"/>
      <c r="BQR11" s="26"/>
      <c r="BQS11" s="26"/>
      <c r="BQT11" s="27"/>
      <c r="BQU11" s="28"/>
      <c r="BQV11" s="26"/>
      <c r="BQW11" s="26"/>
      <c r="BQY11" s="25"/>
      <c r="BQZ11" s="26"/>
      <c r="BRA11" s="26"/>
      <c r="BRB11" s="27"/>
      <c r="BRC11" s="28"/>
      <c r="BRD11" s="26"/>
      <c r="BRE11" s="26"/>
      <c r="BRG11" s="25"/>
      <c r="BRH11" s="26"/>
      <c r="BRI11" s="26"/>
      <c r="BRJ11" s="27"/>
      <c r="BRK11" s="28"/>
      <c r="BRL11" s="26"/>
      <c r="BRM11" s="26"/>
      <c r="BRO11" s="25"/>
      <c r="BRP11" s="26"/>
      <c r="BRQ11" s="26"/>
      <c r="BRR11" s="27"/>
      <c r="BRS11" s="28"/>
      <c r="BRT11" s="26"/>
      <c r="BRU11" s="26"/>
      <c r="BRW11" s="25"/>
      <c r="BRX11" s="26"/>
      <c r="BRY11" s="26"/>
      <c r="BRZ11" s="27"/>
      <c r="BSA11" s="28"/>
      <c r="BSB11" s="26"/>
      <c r="BSC11" s="26"/>
      <c r="BSE11" s="25"/>
      <c r="BSF11" s="26"/>
      <c r="BSG11" s="26"/>
      <c r="BSH11" s="27"/>
      <c r="BSI11" s="28"/>
      <c r="BSJ11" s="26"/>
      <c r="BSK11" s="26"/>
      <c r="BSM11" s="25"/>
      <c r="BSN11" s="26"/>
      <c r="BSO11" s="26"/>
      <c r="BSP11" s="27"/>
      <c r="BSQ11" s="28"/>
      <c r="BSR11" s="26"/>
      <c r="BSS11" s="26"/>
      <c r="BSU11" s="25"/>
      <c r="BSV11" s="26"/>
      <c r="BSW11" s="26"/>
      <c r="BSX11" s="27"/>
      <c r="BSY11" s="28"/>
      <c r="BSZ11" s="26"/>
      <c r="BTA11" s="26"/>
      <c r="BTC11" s="25"/>
      <c r="BTD11" s="26"/>
      <c r="BTE11" s="26"/>
      <c r="BTF11" s="27"/>
      <c r="BTG11" s="28"/>
      <c r="BTH11" s="26"/>
      <c r="BTI11" s="26"/>
      <c r="BTK11" s="25"/>
      <c r="BTL11" s="26"/>
      <c r="BTM11" s="26"/>
      <c r="BTN11" s="27"/>
      <c r="BTO11" s="28"/>
      <c r="BTP11" s="26"/>
      <c r="BTQ11" s="26"/>
      <c r="BTS11" s="25"/>
      <c r="BTT11" s="26"/>
      <c r="BTU11" s="26"/>
      <c r="BTV11" s="27"/>
      <c r="BTW11" s="28"/>
      <c r="BTX11" s="26"/>
      <c r="BTY11" s="26"/>
      <c r="BUA11" s="25"/>
      <c r="BUB11" s="26"/>
      <c r="BUC11" s="26"/>
      <c r="BUD11" s="27"/>
      <c r="BUE11" s="28"/>
      <c r="BUF11" s="26"/>
      <c r="BUG11" s="26"/>
      <c r="BUI11" s="25"/>
      <c r="BUJ11" s="26"/>
      <c r="BUK11" s="26"/>
      <c r="BUL11" s="27"/>
      <c r="BUM11" s="28"/>
      <c r="BUN11" s="26"/>
      <c r="BUO11" s="26"/>
      <c r="BUQ11" s="25"/>
      <c r="BUR11" s="26"/>
      <c r="BUS11" s="26"/>
      <c r="BUT11" s="27"/>
      <c r="BUU11" s="28"/>
      <c r="BUV11" s="26"/>
      <c r="BUW11" s="26"/>
      <c r="BUY11" s="25"/>
      <c r="BUZ11" s="26"/>
      <c r="BVA11" s="26"/>
      <c r="BVB11" s="27"/>
      <c r="BVC11" s="28"/>
      <c r="BVD11" s="26"/>
      <c r="BVE11" s="26"/>
      <c r="BVG11" s="25"/>
      <c r="BVH11" s="26"/>
      <c r="BVI11" s="26"/>
      <c r="BVJ11" s="27"/>
      <c r="BVK11" s="28"/>
      <c r="BVL11" s="26"/>
      <c r="BVM11" s="26"/>
      <c r="BVO11" s="25"/>
      <c r="BVP11" s="26"/>
      <c r="BVQ11" s="26"/>
      <c r="BVR11" s="27"/>
      <c r="BVS11" s="28"/>
      <c r="BVT11" s="26"/>
      <c r="BVU11" s="26"/>
      <c r="BVW11" s="25"/>
      <c r="BVX11" s="26"/>
      <c r="BVY11" s="26"/>
      <c r="BVZ11" s="27"/>
      <c r="BWA11" s="28"/>
      <c r="BWB11" s="26"/>
      <c r="BWC11" s="26"/>
      <c r="BWE11" s="25"/>
      <c r="BWF11" s="26"/>
      <c r="BWG11" s="26"/>
      <c r="BWH11" s="27"/>
      <c r="BWI11" s="28"/>
      <c r="BWJ11" s="26"/>
      <c r="BWK11" s="26"/>
      <c r="BWM11" s="25"/>
      <c r="BWN11" s="26"/>
      <c r="BWO11" s="26"/>
      <c r="BWP11" s="27"/>
      <c r="BWQ11" s="28"/>
      <c r="BWR11" s="26"/>
      <c r="BWS11" s="26"/>
      <c r="BWU11" s="25"/>
      <c r="BWV11" s="26"/>
      <c r="BWW11" s="26"/>
      <c r="BWX11" s="27"/>
      <c r="BWY11" s="28"/>
      <c r="BWZ11" s="26"/>
      <c r="BXA11" s="26"/>
      <c r="BXC11" s="25"/>
      <c r="BXD11" s="26"/>
      <c r="BXE11" s="26"/>
      <c r="BXF11" s="27"/>
      <c r="BXG11" s="28"/>
      <c r="BXH11" s="26"/>
      <c r="BXI11" s="26"/>
      <c r="BXK11" s="25"/>
      <c r="BXL11" s="26"/>
      <c r="BXM11" s="26"/>
      <c r="BXN11" s="27"/>
      <c r="BXO11" s="28"/>
      <c r="BXP11" s="26"/>
      <c r="BXQ11" s="26"/>
      <c r="BXS11" s="25"/>
      <c r="BXT11" s="26"/>
      <c r="BXU11" s="26"/>
      <c r="BXV11" s="27"/>
      <c r="BXW11" s="28"/>
      <c r="BXX11" s="26"/>
      <c r="BXY11" s="26"/>
      <c r="BYA11" s="25"/>
      <c r="BYB11" s="26"/>
      <c r="BYC11" s="26"/>
      <c r="BYD11" s="27"/>
      <c r="BYE11" s="28"/>
      <c r="BYF11" s="26"/>
      <c r="BYG11" s="26"/>
      <c r="BYI11" s="25"/>
      <c r="BYJ11" s="26"/>
      <c r="BYK11" s="26"/>
      <c r="BYL11" s="27"/>
      <c r="BYM11" s="28"/>
      <c r="BYN11" s="26"/>
      <c r="BYO11" s="26"/>
      <c r="BYQ11" s="25"/>
      <c r="BYR11" s="26"/>
      <c r="BYS11" s="26"/>
      <c r="BYT11" s="27"/>
      <c r="BYU11" s="28"/>
      <c r="BYV11" s="26"/>
      <c r="BYW11" s="26"/>
      <c r="BYY11" s="25"/>
      <c r="BYZ11" s="26"/>
      <c r="BZA11" s="26"/>
      <c r="BZB11" s="27"/>
      <c r="BZC11" s="28"/>
      <c r="BZD11" s="26"/>
      <c r="BZE11" s="26"/>
      <c r="BZG11" s="25"/>
      <c r="BZH11" s="26"/>
      <c r="BZI11" s="26"/>
      <c r="BZJ11" s="27"/>
      <c r="BZK11" s="28"/>
      <c r="BZL11" s="26"/>
      <c r="BZM11" s="26"/>
      <c r="BZO11" s="25"/>
      <c r="BZP11" s="26"/>
      <c r="BZQ11" s="26"/>
      <c r="BZR11" s="27"/>
      <c r="BZS11" s="28"/>
      <c r="BZT11" s="26"/>
      <c r="BZU11" s="26"/>
      <c r="BZW11" s="25"/>
      <c r="BZX11" s="26"/>
      <c r="BZY11" s="26"/>
      <c r="BZZ11" s="27"/>
      <c r="CAA11" s="28"/>
      <c r="CAB11" s="26"/>
      <c r="CAC11" s="26"/>
      <c r="CAE11" s="25"/>
      <c r="CAF11" s="26"/>
      <c r="CAG11" s="26"/>
      <c r="CAH11" s="27"/>
      <c r="CAI11" s="28"/>
      <c r="CAJ11" s="26"/>
      <c r="CAK11" s="26"/>
      <c r="CAM11" s="25"/>
      <c r="CAN11" s="26"/>
      <c r="CAO11" s="26"/>
      <c r="CAP11" s="27"/>
      <c r="CAQ11" s="28"/>
      <c r="CAR11" s="26"/>
      <c r="CAS11" s="26"/>
      <c r="CAU11" s="25"/>
      <c r="CAV11" s="26"/>
      <c r="CAW11" s="26"/>
      <c r="CAX11" s="27"/>
      <c r="CAY11" s="28"/>
      <c r="CAZ11" s="26"/>
      <c r="CBA11" s="26"/>
      <c r="CBC11" s="25"/>
      <c r="CBD11" s="26"/>
      <c r="CBE11" s="26"/>
      <c r="CBF11" s="27"/>
      <c r="CBG11" s="28"/>
      <c r="CBH11" s="26"/>
      <c r="CBI11" s="26"/>
      <c r="CBK11" s="25"/>
      <c r="CBL11" s="26"/>
      <c r="CBM11" s="26"/>
      <c r="CBN11" s="27"/>
      <c r="CBO11" s="28"/>
      <c r="CBP11" s="26"/>
      <c r="CBQ11" s="26"/>
      <c r="CBS11" s="25"/>
      <c r="CBT11" s="26"/>
      <c r="CBU11" s="26"/>
      <c r="CBV11" s="27"/>
      <c r="CBW11" s="28"/>
      <c r="CBX11" s="26"/>
      <c r="CBY11" s="26"/>
      <c r="CCA11" s="25"/>
      <c r="CCB11" s="26"/>
      <c r="CCC11" s="26"/>
      <c r="CCD11" s="27"/>
      <c r="CCE11" s="28"/>
      <c r="CCF11" s="26"/>
      <c r="CCG11" s="26"/>
      <c r="CCI11" s="25"/>
      <c r="CCJ11" s="26"/>
      <c r="CCK11" s="26"/>
      <c r="CCL11" s="27"/>
      <c r="CCM11" s="28"/>
      <c r="CCN11" s="26"/>
      <c r="CCO11" s="26"/>
      <c r="CCQ11" s="25"/>
      <c r="CCR11" s="26"/>
      <c r="CCS11" s="26"/>
      <c r="CCT11" s="27"/>
      <c r="CCU11" s="28"/>
      <c r="CCV11" s="26"/>
      <c r="CCW11" s="26"/>
      <c r="CCY11" s="25"/>
      <c r="CCZ11" s="26"/>
      <c r="CDA11" s="26"/>
      <c r="CDB11" s="27"/>
      <c r="CDC11" s="28"/>
      <c r="CDD11" s="26"/>
      <c r="CDE11" s="26"/>
      <c r="CDG11" s="25"/>
      <c r="CDH11" s="26"/>
      <c r="CDI11" s="26"/>
      <c r="CDJ11" s="27"/>
      <c r="CDK11" s="28"/>
      <c r="CDL11" s="26"/>
      <c r="CDM11" s="26"/>
      <c r="CDO11" s="25"/>
      <c r="CDP11" s="26"/>
      <c r="CDQ11" s="26"/>
      <c r="CDR11" s="27"/>
      <c r="CDS11" s="28"/>
      <c r="CDT11" s="26"/>
      <c r="CDU11" s="26"/>
      <c r="CDW11" s="25"/>
      <c r="CDX11" s="26"/>
      <c r="CDY11" s="26"/>
      <c r="CDZ11" s="27"/>
      <c r="CEA11" s="28"/>
      <c r="CEB11" s="26"/>
      <c r="CEC11" s="26"/>
      <c r="CEE11" s="25"/>
      <c r="CEF11" s="26"/>
      <c r="CEG11" s="26"/>
      <c r="CEH11" s="27"/>
      <c r="CEI11" s="28"/>
      <c r="CEJ11" s="26"/>
      <c r="CEK11" s="26"/>
      <c r="CEM11" s="25"/>
      <c r="CEN11" s="26"/>
      <c r="CEO11" s="26"/>
      <c r="CEP11" s="27"/>
      <c r="CEQ11" s="28"/>
      <c r="CER11" s="26"/>
      <c r="CES11" s="26"/>
      <c r="CEU11" s="25"/>
      <c r="CEV11" s="26"/>
      <c r="CEW11" s="26"/>
      <c r="CEX11" s="27"/>
      <c r="CEY11" s="28"/>
      <c r="CEZ11" s="26"/>
      <c r="CFA11" s="26"/>
      <c r="CFC11" s="25"/>
      <c r="CFD11" s="26"/>
      <c r="CFE11" s="26"/>
      <c r="CFF11" s="27"/>
      <c r="CFG11" s="28"/>
      <c r="CFH11" s="26"/>
      <c r="CFI11" s="26"/>
      <c r="CFK11" s="25"/>
      <c r="CFL11" s="26"/>
      <c r="CFM11" s="26"/>
      <c r="CFN11" s="27"/>
      <c r="CFO11" s="28"/>
      <c r="CFP11" s="26"/>
      <c r="CFQ11" s="26"/>
      <c r="CFS11" s="25"/>
      <c r="CFT11" s="26"/>
      <c r="CFU11" s="26"/>
      <c r="CFV11" s="27"/>
      <c r="CFW11" s="28"/>
      <c r="CFX11" s="26"/>
      <c r="CFY11" s="26"/>
      <c r="CGA11" s="25"/>
      <c r="CGB11" s="26"/>
      <c r="CGC11" s="26"/>
      <c r="CGD11" s="27"/>
      <c r="CGE11" s="28"/>
      <c r="CGF11" s="26"/>
      <c r="CGG11" s="26"/>
      <c r="CGI11" s="25"/>
      <c r="CGJ11" s="26"/>
      <c r="CGK11" s="26"/>
      <c r="CGL11" s="27"/>
      <c r="CGM11" s="28"/>
      <c r="CGN11" s="26"/>
      <c r="CGO11" s="26"/>
      <c r="CGQ11" s="25"/>
      <c r="CGR11" s="26"/>
      <c r="CGS11" s="26"/>
      <c r="CGT11" s="27"/>
      <c r="CGU11" s="28"/>
      <c r="CGV11" s="26"/>
      <c r="CGW11" s="26"/>
      <c r="CGY11" s="25"/>
      <c r="CGZ11" s="26"/>
      <c r="CHA11" s="26"/>
      <c r="CHB11" s="27"/>
      <c r="CHC11" s="28"/>
      <c r="CHD11" s="26"/>
      <c r="CHE11" s="26"/>
      <c r="CHG11" s="25"/>
      <c r="CHH11" s="26"/>
      <c r="CHI11" s="26"/>
      <c r="CHJ11" s="27"/>
      <c r="CHK11" s="28"/>
      <c r="CHL11" s="26"/>
      <c r="CHM11" s="26"/>
      <c r="CHO11" s="25"/>
      <c r="CHP11" s="26"/>
      <c r="CHQ11" s="26"/>
      <c r="CHR11" s="27"/>
      <c r="CHS11" s="28"/>
      <c r="CHT11" s="26"/>
      <c r="CHU11" s="26"/>
      <c r="CHW11" s="25"/>
      <c r="CHX11" s="26"/>
      <c r="CHY11" s="26"/>
      <c r="CHZ11" s="27"/>
      <c r="CIA11" s="28"/>
      <c r="CIB11" s="26"/>
      <c r="CIC11" s="26"/>
      <c r="CIE11" s="25"/>
      <c r="CIF11" s="26"/>
      <c r="CIG11" s="26"/>
      <c r="CIH11" s="27"/>
      <c r="CII11" s="28"/>
      <c r="CIJ11" s="26"/>
      <c r="CIK11" s="26"/>
      <c r="CIM11" s="25"/>
      <c r="CIN11" s="26"/>
      <c r="CIO11" s="26"/>
      <c r="CIP11" s="27"/>
      <c r="CIQ11" s="28"/>
      <c r="CIR11" s="26"/>
      <c r="CIS11" s="26"/>
      <c r="CIU11" s="25"/>
      <c r="CIV11" s="26"/>
      <c r="CIW11" s="26"/>
      <c r="CIX11" s="27"/>
      <c r="CIY11" s="28"/>
      <c r="CIZ11" s="26"/>
      <c r="CJA11" s="26"/>
      <c r="CJC11" s="25"/>
      <c r="CJD11" s="26"/>
      <c r="CJE11" s="26"/>
      <c r="CJF11" s="27"/>
      <c r="CJG11" s="28"/>
      <c r="CJH11" s="26"/>
      <c r="CJI11" s="26"/>
      <c r="CJK11" s="25"/>
      <c r="CJL11" s="26"/>
      <c r="CJM11" s="26"/>
      <c r="CJN11" s="27"/>
      <c r="CJO11" s="28"/>
      <c r="CJP11" s="26"/>
      <c r="CJQ11" s="26"/>
      <c r="CJS11" s="25"/>
      <c r="CJT11" s="26"/>
      <c r="CJU11" s="26"/>
      <c r="CJV11" s="27"/>
      <c r="CJW11" s="28"/>
      <c r="CJX11" s="26"/>
      <c r="CJY11" s="26"/>
      <c r="CKA11" s="25"/>
      <c r="CKB11" s="26"/>
      <c r="CKC11" s="26"/>
      <c r="CKD11" s="27"/>
      <c r="CKE11" s="28"/>
      <c r="CKF11" s="26"/>
      <c r="CKG11" s="26"/>
      <c r="CKI11" s="25"/>
      <c r="CKJ11" s="26"/>
      <c r="CKK11" s="26"/>
      <c r="CKL11" s="27"/>
      <c r="CKM11" s="28"/>
      <c r="CKN11" s="26"/>
      <c r="CKO11" s="26"/>
      <c r="CKQ11" s="25"/>
      <c r="CKR11" s="26"/>
      <c r="CKS11" s="26"/>
      <c r="CKT11" s="27"/>
      <c r="CKU11" s="28"/>
      <c r="CKV11" s="26"/>
      <c r="CKW11" s="26"/>
      <c r="CKY11" s="25"/>
      <c r="CKZ11" s="26"/>
      <c r="CLA11" s="26"/>
      <c r="CLB11" s="27"/>
      <c r="CLC11" s="28"/>
      <c r="CLD11" s="26"/>
      <c r="CLE11" s="26"/>
      <c r="CLG11" s="25"/>
      <c r="CLH11" s="26"/>
      <c r="CLI11" s="26"/>
      <c r="CLJ11" s="27"/>
      <c r="CLK11" s="28"/>
      <c r="CLL11" s="26"/>
      <c r="CLM11" s="26"/>
      <c r="CLO11" s="25"/>
      <c r="CLP11" s="26"/>
      <c r="CLQ11" s="26"/>
      <c r="CLR11" s="27"/>
      <c r="CLS11" s="28"/>
      <c r="CLT11" s="26"/>
      <c r="CLU11" s="26"/>
      <c r="CLW11" s="25"/>
      <c r="CLX11" s="26"/>
      <c r="CLY11" s="26"/>
      <c r="CLZ11" s="27"/>
      <c r="CMA11" s="28"/>
      <c r="CMB11" s="26"/>
      <c r="CMC11" s="26"/>
      <c r="CME11" s="25"/>
      <c r="CMF11" s="26"/>
      <c r="CMG11" s="26"/>
      <c r="CMH11" s="27"/>
      <c r="CMI11" s="28"/>
      <c r="CMJ11" s="26"/>
      <c r="CMK11" s="26"/>
      <c r="CMM11" s="25"/>
      <c r="CMN11" s="26"/>
      <c r="CMO11" s="26"/>
      <c r="CMP11" s="27"/>
      <c r="CMQ11" s="28"/>
      <c r="CMR11" s="26"/>
      <c r="CMS11" s="26"/>
      <c r="CMU11" s="25"/>
      <c r="CMV11" s="26"/>
      <c r="CMW11" s="26"/>
      <c r="CMX11" s="27"/>
      <c r="CMY11" s="28"/>
      <c r="CMZ11" s="26"/>
      <c r="CNA11" s="26"/>
      <c r="CNC11" s="25"/>
      <c r="CND11" s="26"/>
      <c r="CNE11" s="26"/>
      <c r="CNF11" s="27"/>
      <c r="CNG11" s="28"/>
      <c r="CNH11" s="26"/>
      <c r="CNI11" s="26"/>
      <c r="CNK11" s="25"/>
      <c r="CNL11" s="26"/>
      <c r="CNM11" s="26"/>
      <c r="CNN11" s="27"/>
      <c r="CNO11" s="28"/>
      <c r="CNP11" s="26"/>
      <c r="CNQ11" s="26"/>
      <c r="CNS11" s="25"/>
      <c r="CNT11" s="26"/>
      <c r="CNU11" s="26"/>
      <c r="CNV11" s="27"/>
      <c r="CNW11" s="28"/>
      <c r="CNX11" s="26"/>
      <c r="CNY11" s="26"/>
      <c r="COA11" s="25"/>
      <c r="COB11" s="26"/>
      <c r="COC11" s="26"/>
      <c r="COD11" s="27"/>
      <c r="COE11" s="28"/>
      <c r="COF11" s="26"/>
      <c r="COG11" s="26"/>
      <c r="COI11" s="25"/>
      <c r="COJ11" s="26"/>
      <c r="COK11" s="26"/>
      <c r="COL11" s="27"/>
      <c r="COM11" s="28"/>
      <c r="CON11" s="26"/>
      <c r="COO11" s="26"/>
      <c r="COQ11" s="25"/>
      <c r="COR11" s="26"/>
      <c r="COS11" s="26"/>
      <c r="COT11" s="27"/>
      <c r="COU11" s="28"/>
      <c r="COV11" s="26"/>
      <c r="COW11" s="26"/>
      <c r="COY11" s="25"/>
      <c r="COZ11" s="26"/>
      <c r="CPA11" s="26"/>
      <c r="CPB11" s="27"/>
      <c r="CPC11" s="28"/>
      <c r="CPD11" s="26"/>
      <c r="CPE11" s="26"/>
      <c r="CPG11" s="25"/>
      <c r="CPH11" s="26"/>
      <c r="CPI11" s="26"/>
      <c r="CPJ11" s="27"/>
      <c r="CPK11" s="28"/>
      <c r="CPL11" s="26"/>
      <c r="CPM11" s="26"/>
      <c r="CPO11" s="25"/>
      <c r="CPP11" s="26"/>
      <c r="CPQ11" s="26"/>
      <c r="CPR11" s="27"/>
      <c r="CPS11" s="28"/>
      <c r="CPT11" s="26"/>
      <c r="CPU11" s="26"/>
      <c r="CPW11" s="25"/>
      <c r="CPX11" s="26"/>
      <c r="CPY11" s="26"/>
      <c r="CPZ11" s="27"/>
      <c r="CQA11" s="28"/>
      <c r="CQB11" s="26"/>
      <c r="CQC11" s="26"/>
      <c r="CQE11" s="25"/>
      <c r="CQF11" s="26"/>
      <c r="CQG11" s="26"/>
      <c r="CQH11" s="27"/>
      <c r="CQI11" s="28"/>
      <c r="CQJ11" s="26"/>
      <c r="CQK11" s="26"/>
      <c r="CQM11" s="25"/>
      <c r="CQN11" s="26"/>
      <c r="CQO11" s="26"/>
      <c r="CQP11" s="27"/>
      <c r="CQQ11" s="28"/>
      <c r="CQR11" s="26"/>
      <c r="CQS11" s="26"/>
      <c r="CQU11" s="25"/>
      <c r="CQV11" s="26"/>
      <c r="CQW11" s="26"/>
      <c r="CQX11" s="27"/>
      <c r="CQY11" s="28"/>
      <c r="CQZ11" s="26"/>
      <c r="CRA11" s="26"/>
      <c r="CRC11" s="25"/>
      <c r="CRD11" s="26"/>
      <c r="CRE11" s="26"/>
      <c r="CRF11" s="27"/>
      <c r="CRG11" s="28"/>
      <c r="CRH11" s="26"/>
      <c r="CRI11" s="26"/>
      <c r="CRK11" s="25"/>
      <c r="CRL11" s="26"/>
      <c r="CRM11" s="26"/>
      <c r="CRN11" s="27"/>
      <c r="CRO11" s="28"/>
      <c r="CRP11" s="26"/>
      <c r="CRQ11" s="26"/>
      <c r="CRS11" s="25"/>
      <c r="CRT11" s="26"/>
      <c r="CRU11" s="26"/>
      <c r="CRV11" s="27"/>
      <c r="CRW11" s="28"/>
      <c r="CRX11" s="26"/>
      <c r="CRY11" s="26"/>
      <c r="CSA11" s="25"/>
      <c r="CSB11" s="26"/>
      <c r="CSC11" s="26"/>
      <c r="CSD11" s="27"/>
      <c r="CSE11" s="28"/>
      <c r="CSF11" s="26"/>
      <c r="CSG11" s="26"/>
      <c r="CSI11" s="25"/>
      <c r="CSJ11" s="26"/>
      <c r="CSK11" s="26"/>
      <c r="CSL11" s="27"/>
      <c r="CSM11" s="28"/>
      <c r="CSN11" s="26"/>
      <c r="CSO11" s="26"/>
      <c r="CSQ11" s="25"/>
      <c r="CSR11" s="26"/>
      <c r="CSS11" s="26"/>
      <c r="CST11" s="27"/>
      <c r="CSU11" s="28"/>
      <c r="CSV11" s="26"/>
      <c r="CSW11" s="26"/>
      <c r="CSY11" s="25"/>
      <c r="CSZ11" s="26"/>
      <c r="CTA11" s="26"/>
      <c r="CTB11" s="27"/>
      <c r="CTC11" s="28"/>
      <c r="CTD11" s="26"/>
      <c r="CTE11" s="26"/>
      <c r="CTG11" s="25"/>
      <c r="CTH11" s="26"/>
      <c r="CTI11" s="26"/>
      <c r="CTJ11" s="27"/>
      <c r="CTK11" s="28"/>
      <c r="CTL11" s="26"/>
      <c r="CTM11" s="26"/>
      <c r="CTO11" s="25"/>
      <c r="CTP11" s="26"/>
      <c r="CTQ11" s="26"/>
      <c r="CTR11" s="27"/>
      <c r="CTS11" s="28"/>
      <c r="CTT11" s="26"/>
      <c r="CTU11" s="26"/>
      <c r="CTW11" s="25"/>
      <c r="CTX11" s="26"/>
      <c r="CTY11" s="26"/>
      <c r="CTZ11" s="27"/>
      <c r="CUA11" s="28"/>
      <c r="CUB11" s="26"/>
      <c r="CUC11" s="26"/>
      <c r="CUE11" s="25"/>
      <c r="CUF11" s="26"/>
      <c r="CUG11" s="26"/>
      <c r="CUH11" s="27"/>
      <c r="CUI11" s="28"/>
      <c r="CUJ11" s="26"/>
      <c r="CUK11" s="26"/>
      <c r="CUM11" s="25"/>
      <c r="CUN11" s="26"/>
      <c r="CUO11" s="26"/>
      <c r="CUP11" s="27"/>
      <c r="CUQ11" s="28"/>
      <c r="CUR11" s="26"/>
      <c r="CUS11" s="26"/>
      <c r="CUU11" s="25"/>
      <c r="CUV11" s="26"/>
      <c r="CUW11" s="26"/>
      <c r="CUX11" s="27"/>
      <c r="CUY11" s="28"/>
      <c r="CUZ11" s="26"/>
      <c r="CVA11" s="26"/>
      <c r="CVC11" s="25"/>
      <c r="CVD11" s="26"/>
      <c r="CVE11" s="26"/>
      <c r="CVF11" s="27"/>
      <c r="CVG11" s="28"/>
      <c r="CVH11" s="26"/>
      <c r="CVI11" s="26"/>
      <c r="CVK11" s="25"/>
      <c r="CVL11" s="26"/>
      <c r="CVM11" s="26"/>
      <c r="CVN11" s="27"/>
      <c r="CVO11" s="28"/>
      <c r="CVP11" s="26"/>
      <c r="CVQ11" s="26"/>
      <c r="CVS11" s="25"/>
      <c r="CVT11" s="26"/>
      <c r="CVU11" s="26"/>
      <c r="CVV11" s="27"/>
      <c r="CVW11" s="28"/>
      <c r="CVX11" s="26"/>
      <c r="CVY11" s="26"/>
      <c r="CWA11" s="25"/>
      <c r="CWB11" s="26"/>
      <c r="CWC11" s="26"/>
      <c r="CWD11" s="27"/>
      <c r="CWE11" s="28"/>
      <c r="CWF11" s="26"/>
      <c r="CWG11" s="26"/>
      <c r="CWI11" s="25"/>
      <c r="CWJ11" s="26"/>
      <c r="CWK11" s="26"/>
      <c r="CWL11" s="27"/>
      <c r="CWM11" s="28"/>
      <c r="CWN11" s="26"/>
      <c r="CWO11" s="26"/>
      <c r="CWQ11" s="25"/>
      <c r="CWR11" s="26"/>
      <c r="CWS11" s="26"/>
      <c r="CWT11" s="27"/>
      <c r="CWU11" s="28"/>
      <c r="CWV11" s="26"/>
      <c r="CWW11" s="26"/>
      <c r="CWY11" s="25"/>
      <c r="CWZ11" s="26"/>
      <c r="CXA11" s="26"/>
      <c r="CXB11" s="27"/>
      <c r="CXC11" s="28"/>
      <c r="CXD11" s="26"/>
      <c r="CXE11" s="26"/>
      <c r="CXG11" s="25"/>
      <c r="CXH11" s="26"/>
      <c r="CXI11" s="26"/>
      <c r="CXJ11" s="27"/>
      <c r="CXK11" s="28"/>
      <c r="CXL11" s="26"/>
      <c r="CXM11" s="26"/>
      <c r="CXO11" s="25"/>
      <c r="CXP11" s="26"/>
      <c r="CXQ11" s="26"/>
      <c r="CXR11" s="27"/>
      <c r="CXS11" s="28"/>
      <c r="CXT11" s="26"/>
      <c r="CXU11" s="26"/>
      <c r="CXW11" s="25"/>
      <c r="CXX11" s="26"/>
      <c r="CXY11" s="26"/>
      <c r="CXZ11" s="27"/>
      <c r="CYA11" s="28"/>
      <c r="CYB11" s="26"/>
      <c r="CYC11" s="26"/>
      <c r="CYE11" s="25"/>
      <c r="CYF11" s="26"/>
      <c r="CYG11" s="26"/>
      <c r="CYH11" s="27"/>
      <c r="CYI11" s="28"/>
      <c r="CYJ11" s="26"/>
      <c r="CYK11" s="26"/>
      <c r="CYM11" s="25"/>
      <c r="CYN11" s="26"/>
      <c r="CYO11" s="26"/>
      <c r="CYP11" s="27"/>
      <c r="CYQ11" s="28"/>
      <c r="CYR11" s="26"/>
      <c r="CYS11" s="26"/>
      <c r="CYU11" s="25"/>
      <c r="CYV11" s="26"/>
      <c r="CYW11" s="26"/>
      <c r="CYX11" s="27"/>
      <c r="CYY11" s="28"/>
      <c r="CYZ11" s="26"/>
      <c r="CZA11" s="26"/>
      <c r="CZC11" s="25"/>
      <c r="CZD11" s="26"/>
      <c r="CZE11" s="26"/>
      <c r="CZF11" s="27"/>
      <c r="CZG11" s="28"/>
      <c r="CZH11" s="26"/>
      <c r="CZI11" s="26"/>
      <c r="CZK11" s="25"/>
      <c r="CZL11" s="26"/>
      <c r="CZM11" s="26"/>
      <c r="CZN11" s="27"/>
      <c r="CZO11" s="28"/>
      <c r="CZP11" s="26"/>
      <c r="CZQ11" s="26"/>
      <c r="CZS11" s="25"/>
      <c r="CZT11" s="26"/>
      <c r="CZU11" s="26"/>
      <c r="CZV11" s="27"/>
      <c r="CZW11" s="28"/>
      <c r="CZX11" s="26"/>
      <c r="CZY11" s="26"/>
      <c r="DAA11" s="25"/>
      <c r="DAB11" s="26"/>
      <c r="DAC11" s="26"/>
      <c r="DAD11" s="27"/>
      <c r="DAE11" s="28"/>
      <c r="DAF11" s="26"/>
      <c r="DAG11" s="26"/>
      <c r="DAI11" s="25"/>
      <c r="DAJ11" s="26"/>
      <c r="DAK11" s="26"/>
      <c r="DAL11" s="27"/>
      <c r="DAM11" s="28"/>
      <c r="DAN11" s="26"/>
      <c r="DAO11" s="26"/>
      <c r="DAQ11" s="25"/>
      <c r="DAR11" s="26"/>
      <c r="DAS11" s="26"/>
      <c r="DAT11" s="27"/>
      <c r="DAU11" s="28"/>
      <c r="DAV11" s="26"/>
      <c r="DAW11" s="26"/>
      <c r="DAY11" s="25"/>
      <c r="DAZ11" s="26"/>
      <c r="DBA11" s="26"/>
      <c r="DBB11" s="27"/>
      <c r="DBC11" s="28"/>
      <c r="DBD11" s="26"/>
      <c r="DBE11" s="26"/>
      <c r="DBG11" s="25"/>
      <c r="DBH11" s="26"/>
      <c r="DBI11" s="26"/>
      <c r="DBJ11" s="27"/>
      <c r="DBK11" s="28"/>
      <c r="DBL11" s="26"/>
      <c r="DBM11" s="26"/>
      <c r="DBO11" s="25"/>
      <c r="DBP11" s="26"/>
      <c r="DBQ11" s="26"/>
      <c r="DBR11" s="27"/>
      <c r="DBS11" s="28"/>
      <c r="DBT11" s="26"/>
      <c r="DBU11" s="26"/>
      <c r="DBW11" s="25"/>
      <c r="DBX11" s="26"/>
      <c r="DBY11" s="26"/>
      <c r="DBZ11" s="27"/>
      <c r="DCA11" s="28"/>
      <c r="DCB11" s="26"/>
      <c r="DCC11" s="26"/>
      <c r="DCE11" s="25"/>
      <c r="DCF11" s="26"/>
      <c r="DCG11" s="26"/>
      <c r="DCH11" s="27"/>
      <c r="DCI11" s="28"/>
      <c r="DCJ11" s="26"/>
      <c r="DCK11" s="26"/>
      <c r="DCM11" s="25"/>
      <c r="DCN11" s="26"/>
      <c r="DCO11" s="26"/>
      <c r="DCP11" s="27"/>
      <c r="DCQ11" s="28"/>
      <c r="DCR11" s="26"/>
      <c r="DCS11" s="26"/>
      <c r="DCU11" s="25"/>
      <c r="DCV11" s="26"/>
      <c r="DCW11" s="26"/>
      <c r="DCX11" s="27"/>
      <c r="DCY11" s="28"/>
      <c r="DCZ11" s="26"/>
      <c r="DDA11" s="26"/>
      <c r="DDC11" s="25"/>
      <c r="DDD11" s="26"/>
      <c r="DDE11" s="26"/>
      <c r="DDF11" s="27"/>
      <c r="DDG11" s="28"/>
      <c r="DDH11" s="26"/>
      <c r="DDI11" s="26"/>
      <c r="DDK11" s="25"/>
      <c r="DDL11" s="26"/>
      <c r="DDM11" s="26"/>
      <c r="DDN11" s="27"/>
      <c r="DDO11" s="28"/>
      <c r="DDP11" s="26"/>
      <c r="DDQ11" s="26"/>
      <c r="DDS11" s="25"/>
      <c r="DDT11" s="26"/>
      <c r="DDU11" s="26"/>
      <c r="DDV11" s="27"/>
      <c r="DDW11" s="28"/>
      <c r="DDX11" s="26"/>
      <c r="DDY11" s="26"/>
      <c r="DEA11" s="25"/>
      <c r="DEB11" s="26"/>
      <c r="DEC11" s="26"/>
      <c r="DED11" s="27"/>
      <c r="DEE11" s="28"/>
      <c r="DEF11" s="26"/>
      <c r="DEG11" s="26"/>
      <c r="DEI11" s="25"/>
      <c r="DEJ11" s="26"/>
      <c r="DEK11" s="26"/>
      <c r="DEL11" s="27"/>
      <c r="DEM11" s="28"/>
      <c r="DEN11" s="26"/>
      <c r="DEO11" s="26"/>
      <c r="DEQ11" s="25"/>
      <c r="DER11" s="26"/>
      <c r="DES11" s="26"/>
      <c r="DET11" s="27"/>
      <c r="DEU11" s="28"/>
      <c r="DEV11" s="26"/>
      <c r="DEW11" s="26"/>
      <c r="DEY11" s="25"/>
      <c r="DEZ11" s="26"/>
      <c r="DFA11" s="26"/>
      <c r="DFB11" s="27"/>
      <c r="DFC11" s="28"/>
      <c r="DFD11" s="26"/>
      <c r="DFE11" s="26"/>
      <c r="DFG11" s="25"/>
      <c r="DFH11" s="26"/>
      <c r="DFI11" s="26"/>
      <c r="DFJ11" s="27"/>
      <c r="DFK11" s="28"/>
      <c r="DFL11" s="26"/>
      <c r="DFM11" s="26"/>
      <c r="DFO11" s="25"/>
      <c r="DFP11" s="26"/>
      <c r="DFQ11" s="26"/>
      <c r="DFR11" s="27"/>
      <c r="DFS11" s="28"/>
      <c r="DFT11" s="26"/>
      <c r="DFU11" s="26"/>
      <c r="DFW11" s="25"/>
      <c r="DFX11" s="26"/>
      <c r="DFY11" s="26"/>
      <c r="DFZ11" s="27"/>
      <c r="DGA11" s="28"/>
      <c r="DGB11" s="26"/>
      <c r="DGC11" s="26"/>
      <c r="DGE11" s="25"/>
      <c r="DGF11" s="26"/>
      <c r="DGG11" s="26"/>
      <c r="DGH11" s="27"/>
      <c r="DGI11" s="28"/>
      <c r="DGJ11" s="26"/>
      <c r="DGK11" s="26"/>
      <c r="DGM11" s="25"/>
      <c r="DGN11" s="26"/>
      <c r="DGO11" s="26"/>
      <c r="DGP11" s="27"/>
      <c r="DGQ11" s="28"/>
      <c r="DGR11" s="26"/>
      <c r="DGS11" s="26"/>
      <c r="DGU11" s="25"/>
      <c r="DGV11" s="26"/>
      <c r="DGW11" s="26"/>
      <c r="DGX11" s="27"/>
      <c r="DGY11" s="28"/>
      <c r="DGZ11" s="26"/>
      <c r="DHA11" s="26"/>
      <c r="DHC11" s="25"/>
      <c r="DHD11" s="26"/>
      <c r="DHE11" s="26"/>
      <c r="DHF11" s="27"/>
      <c r="DHG11" s="28"/>
      <c r="DHH11" s="26"/>
      <c r="DHI11" s="26"/>
      <c r="DHK11" s="25"/>
      <c r="DHL11" s="26"/>
      <c r="DHM11" s="26"/>
      <c r="DHN11" s="27"/>
      <c r="DHO11" s="28"/>
      <c r="DHP11" s="26"/>
      <c r="DHQ11" s="26"/>
      <c r="DHS11" s="25"/>
      <c r="DHT11" s="26"/>
      <c r="DHU11" s="26"/>
      <c r="DHV11" s="27"/>
      <c r="DHW11" s="28"/>
      <c r="DHX11" s="26"/>
      <c r="DHY11" s="26"/>
      <c r="DIA11" s="25"/>
      <c r="DIB11" s="26"/>
      <c r="DIC11" s="26"/>
      <c r="DID11" s="27"/>
      <c r="DIE11" s="28"/>
      <c r="DIF11" s="26"/>
      <c r="DIG11" s="26"/>
      <c r="DII11" s="25"/>
      <c r="DIJ11" s="26"/>
      <c r="DIK11" s="26"/>
      <c r="DIL11" s="27"/>
      <c r="DIM11" s="28"/>
      <c r="DIN11" s="26"/>
      <c r="DIO11" s="26"/>
      <c r="DIQ11" s="25"/>
      <c r="DIR11" s="26"/>
      <c r="DIS11" s="26"/>
      <c r="DIT11" s="27"/>
      <c r="DIU11" s="28"/>
      <c r="DIV11" s="26"/>
      <c r="DIW11" s="26"/>
      <c r="DIY11" s="25"/>
      <c r="DIZ11" s="26"/>
      <c r="DJA11" s="26"/>
      <c r="DJB11" s="27"/>
      <c r="DJC11" s="28"/>
      <c r="DJD11" s="26"/>
      <c r="DJE11" s="26"/>
      <c r="DJG11" s="25"/>
      <c r="DJH11" s="26"/>
      <c r="DJI11" s="26"/>
      <c r="DJJ11" s="27"/>
      <c r="DJK11" s="28"/>
      <c r="DJL11" s="26"/>
      <c r="DJM11" s="26"/>
      <c r="DJO11" s="25"/>
      <c r="DJP11" s="26"/>
      <c r="DJQ11" s="26"/>
      <c r="DJR11" s="27"/>
      <c r="DJS11" s="28"/>
      <c r="DJT11" s="26"/>
      <c r="DJU11" s="26"/>
      <c r="DJW11" s="25"/>
      <c r="DJX11" s="26"/>
      <c r="DJY11" s="26"/>
      <c r="DJZ11" s="27"/>
      <c r="DKA11" s="28"/>
      <c r="DKB11" s="26"/>
      <c r="DKC11" s="26"/>
      <c r="DKE11" s="25"/>
      <c r="DKF11" s="26"/>
      <c r="DKG11" s="26"/>
      <c r="DKH11" s="27"/>
      <c r="DKI11" s="28"/>
      <c r="DKJ11" s="26"/>
      <c r="DKK11" s="26"/>
      <c r="DKM11" s="25"/>
      <c r="DKN11" s="26"/>
      <c r="DKO11" s="26"/>
      <c r="DKP11" s="27"/>
      <c r="DKQ11" s="28"/>
      <c r="DKR11" s="26"/>
      <c r="DKS11" s="26"/>
      <c r="DKU11" s="25"/>
      <c r="DKV11" s="26"/>
      <c r="DKW11" s="26"/>
      <c r="DKX11" s="27"/>
      <c r="DKY11" s="28"/>
      <c r="DKZ11" s="26"/>
      <c r="DLA11" s="26"/>
      <c r="DLC11" s="25"/>
      <c r="DLD11" s="26"/>
      <c r="DLE11" s="26"/>
      <c r="DLF11" s="27"/>
      <c r="DLG11" s="28"/>
      <c r="DLH11" s="26"/>
      <c r="DLI11" s="26"/>
      <c r="DLK11" s="25"/>
      <c r="DLL11" s="26"/>
      <c r="DLM11" s="26"/>
      <c r="DLN11" s="27"/>
      <c r="DLO11" s="28"/>
      <c r="DLP11" s="26"/>
      <c r="DLQ11" s="26"/>
      <c r="DLS11" s="25"/>
      <c r="DLT11" s="26"/>
      <c r="DLU11" s="26"/>
      <c r="DLV11" s="27"/>
      <c r="DLW11" s="28"/>
      <c r="DLX11" s="26"/>
      <c r="DLY11" s="26"/>
      <c r="DMA11" s="25"/>
      <c r="DMB11" s="26"/>
      <c r="DMC11" s="26"/>
      <c r="DMD11" s="27"/>
      <c r="DME11" s="28"/>
      <c r="DMF11" s="26"/>
      <c r="DMG11" s="26"/>
      <c r="DMI11" s="25"/>
      <c r="DMJ11" s="26"/>
      <c r="DMK11" s="26"/>
      <c r="DML11" s="27"/>
      <c r="DMM11" s="28"/>
      <c r="DMN11" s="26"/>
      <c r="DMO11" s="26"/>
      <c r="DMQ11" s="25"/>
      <c r="DMR11" s="26"/>
      <c r="DMS11" s="26"/>
      <c r="DMT11" s="27"/>
      <c r="DMU11" s="28"/>
      <c r="DMV11" s="26"/>
      <c r="DMW11" s="26"/>
      <c r="DMY11" s="25"/>
      <c r="DMZ11" s="26"/>
      <c r="DNA11" s="26"/>
      <c r="DNB11" s="27"/>
      <c r="DNC11" s="28"/>
      <c r="DND11" s="26"/>
      <c r="DNE11" s="26"/>
      <c r="DNG11" s="25"/>
      <c r="DNH11" s="26"/>
      <c r="DNI11" s="26"/>
      <c r="DNJ11" s="27"/>
      <c r="DNK11" s="28"/>
      <c r="DNL11" s="26"/>
      <c r="DNM11" s="26"/>
      <c r="DNO11" s="25"/>
      <c r="DNP11" s="26"/>
      <c r="DNQ11" s="26"/>
      <c r="DNR11" s="27"/>
      <c r="DNS11" s="28"/>
      <c r="DNT11" s="26"/>
      <c r="DNU11" s="26"/>
      <c r="DNW11" s="25"/>
      <c r="DNX11" s="26"/>
      <c r="DNY11" s="26"/>
      <c r="DNZ11" s="27"/>
      <c r="DOA11" s="28"/>
      <c r="DOB11" s="26"/>
      <c r="DOC11" s="26"/>
      <c r="DOE11" s="25"/>
      <c r="DOF11" s="26"/>
      <c r="DOG11" s="26"/>
      <c r="DOH11" s="27"/>
      <c r="DOI11" s="28"/>
      <c r="DOJ11" s="26"/>
      <c r="DOK11" s="26"/>
      <c r="DOM11" s="25"/>
      <c r="DON11" s="26"/>
      <c r="DOO11" s="26"/>
      <c r="DOP11" s="27"/>
      <c r="DOQ11" s="28"/>
      <c r="DOR11" s="26"/>
      <c r="DOS11" s="26"/>
      <c r="DOU11" s="25"/>
      <c r="DOV11" s="26"/>
      <c r="DOW11" s="26"/>
      <c r="DOX11" s="27"/>
      <c r="DOY11" s="28"/>
      <c r="DOZ11" s="26"/>
      <c r="DPA11" s="26"/>
      <c r="DPC11" s="25"/>
      <c r="DPD11" s="26"/>
      <c r="DPE11" s="26"/>
      <c r="DPF11" s="27"/>
      <c r="DPG11" s="28"/>
      <c r="DPH11" s="26"/>
      <c r="DPI11" s="26"/>
      <c r="DPK11" s="25"/>
      <c r="DPL11" s="26"/>
      <c r="DPM11" s="26"/>
      <c r="DPN11" s="27"/>
      <c r="DPO11" s="28"/>
      <c r="DPP11" s="26"/>
      <c r="DPQ11" s="26"/>
      <c r="DPS11" s="25"/>
      <c r="DPT11" s="26"/>
      <c r="DPU11" s="26"/>
      <c r="DPV11" s="27"/>
      <c r="DPW11" s="28"/>
      <c r="DPX11" s="26"/>
      <c r="DPY11" s="26"/>
      <c r="DQA11" s="25"/>
      <c r="DQB11" s="26"/>
      <c r="DQC11" s="26"/>
      <c r="DQD11" s="27"/>
      <c r="DQE11" s="28"/>
      <c r="DQF11" s="26"/>
      <c r="DQG11" s="26"/>
      <c r="DQI11" s="25"/>
      <c r="DQJ11" s="26"/>
      <c r="DQK11" s="26"/>
      <c r="DQL11" s="27"/>
      <c r="DQM11" s="28"/>
      <c r="DQN11" s="26"/>
      <c r="DQO11" s="26"/>
      <c r="DQQ11" s="25"/>
      <c r="DQR11" s="26"/>
      <c r="DQS11" s="26"/>
      <c r="DQT11" s="27"/>
      <c r="DQU11" s="28"/>
      <c r="DQV11" s="26"/>
      <c r="DQW11" s="26"/>
      <c r="DQY11" s="25"/>
      <c r="DQZ11" s="26"/>
      <c r="DRA11" s="26"/>
      <c r="DRB11" s="27"/>
      <c r="DRC11" s="28"/>
      <c r="DRD11" s="26"/>
      <c r="DRE11" s="26"/>
      <c r="DRG11" s="25"/>
      <c r="DRH11" s="26"/>
      <c r="DRI11" s="26"/>
      <c r="DRJ11" s="27"/>
      <c r="DRK11" s="28"/>
      <c r="DRL11" s="26"/>
      <c r="DRM11" s="26"/>
      <c r="DRO11" s="25"/>
      <c r="DRP11" s="26"/>
      <c r="DRQ11" s="26"/>
      <c r="DRR11" s="27"/>
      <c r="DRS11" s="28"/>
      <c r="DRT11" s="26"/>
      <c r="DRU11" s="26"/>
      <c r="DRW11" s="25"/>
      <c r="DRX11" s="26"/>
      <c r="DRY11" s="26"/>
      <c r="DRZ11" s="27"/>
      <c r="DSA11" s="28"/>
      <c r="DSB11" s="26"/>
      <c r="DSC11" s="26"/>
      <c r="DSE11" s="25"/>
      <c r="DSF11" s="26"/>
      <c r="DSG11" s="26"/>
      <c r="DSH11" s="27"/>
      <c r="DSI11" s="28"/>
      <c r="DSJ11" s="26"/>
      <c r="DSK11" s="26"/>
      <c r="DSM11" s="25"/>
      <c r="DSN11" s="26"/>
      <c r="DSO11" s="26"/>
      <c r="DSP11" s="27"/>
      <c r="DSQ11" s="28"/>
      <c r="DSR11" s="26"/>
      <c r="DSS11" s="26"/>
      <c r="DSU11" s="25"/>
      <c r="DSV11" s="26"/>
      <c r="DSW11" s="26"/>
      <c r="DSX11" s="27"/>
      <c r="DSY11" s="28"/>
      <c r="DSZ11" s="26"/>
      <c r="DTA11" s="26"/>
      <c r="DTC11" s="25"/>
      <c r="DTD11" s="26"/>
      <c r="DTE11" s="26"/>
      <c r="DTF11" s="27"/>
      <c r="DTG11" s="28"/>
      <c r="DTH11" s="26"/>
      <c r="DTI11" s="26"/>
      <c r="DTK11" s="25"/>
      <c r="DTL11" s="26"/>
      <c r="DTM11" s="26"/>
      <c r="DTN11" s="27"/>
      <c r="DTO11" s="28"/>
      <c r="DTP11" s="26"/>
      <c r="DTQ11" s="26"/>
      <c r="DTS11" s="25"/>
      <c r="DTT11" s="26"/>
      <c r="DTU11" s="26"/>
      <c r="DTV11" s="27"/>
      <c r="DTW11" s="28"/>
      <c r="DTX11" s="26"/>
      <c r="DTY11" s="26"/>
      <c r="DUA11" s="25"/>
      <c r="DUB11" s="26"/>
      <c r="DUC11" s="26"/>
      <c r="DUD11" s="27"/>
      <c r="DUE11" s="28"/>
      <c r="DUF11" s="26"/>
      <c r="DUG11" s="26"/>
      <c r="DUI11" s="25"/>
      <c r="DUJ11" s="26"/>
      <c r="DUK11" s="26"/>
      <c r="DUL11" s="27"/>
      <c r="DUM11" s="28"/>
      <c r="DUN11" s="26"/>
      <c r="DUO11" s="26"/>
      <c r="DUQ11" s="25"/>
      <c r="DUR11" s="26"/>
      <c r="DUS11" s="26"/>
      <c r="DUT11" s="27"/>
      <c r="DUU11" s="28"/>
      <c r="DUV11" s="26"/>
      <c r="DUW11" s="26"/>
      <c r="DUY11" s="25"/>
      <c r="DUZ11" s="26"/>
      <c r="DVA11" s="26"/>
      <c r="DVB11" s="27"/>
      <c r="DVC11" s="28"/>
      <c r="DVD11" s="26"/>
      <c r="DVE11" s="26"/>
      <c r="DVG11" s="25"/>
      <c r="DVH11" s="26"/>
      <c r="DVI11" s="26"/>
      <c r="DVJ11" s="27"/>
      <c r="DVK11" s="28"/>
      <c r="DVL11" s="26"/>
      <c r="DVM11" s="26"/>
      <c r="DVO11" s="25"/>
      <c r="DVP11" s="26"/>
      <c r="DVQ11" s="26"/>
      <c r="DVR11" s="27"/>
      <c r="DVS11" s="28"/>
      <c r="DVT11" s="26"/>
      <c r="DVU11" s="26"/>
      <c r="DVW11" s="25"/>
      <c r="DVX11" s="26"/>
      <c r="DVY11" s="26"/>
      <c r="DVZ11" s="27"/>
      <c r="DWA11" s="28"/>
      <c r="DWB11" s="26"/>
      <c r="DWC11" s="26"/>
      <c r="DWE11" s="25"/>
      <c r="DWF11" s="26"/>
      <c r="DWG11" s="26"/>
      <c r="DWH11" s="27"/>
      <c r="DWI11" s="28"/>
      <c r="DWJ11" s="26"/>
      <c r="DWK11" s="26"/>
      <c r="DWM11" s="25"/>
      <c r="DWN11" s="26"/>
      <c r="DWO11" s="26"/>
      <c r="DWP11" s="27"/>
      <c r="DWQ11" s="28"/>
      <c r="DWR11" s="26"/>
      <c r="DWS11" s="26"/>
      <c r="DWU11" s="25"/>
      <c r="DWV11" s="26"/>
      <c r="DWW11" s="26"/>
      <c r="DWX11" s="27"/>
      <c r="DWY11" s="28"/>
      <c r="DWZ11" s="26"/>
      <c r="DXA11" s="26"/>
      <c r="DXC11" s="25"/>
      <c r="DXD11" s="26"/>
      <c r="DXE11" s="26"/>
      <c r="DXF11" s="27"/>
      <c r="DXG11" s="28"/>
      <c r="DXH11" s="26"/>
      <c r="DXI11" s="26"/>
      <c r="DXK11" s="25"/>
      <c r="DXL11" s="26"/>
      <c r="DXM11" s="26"/>
      <c r="DXN11" s="27"/>
      <c r="DXO11" s="28"/>
      <c r="DXP11" s="26"/>
      <c r="DXQ11" s="26"/>
      <c r="DXS11" s="25"/>
      <c r="DXT11" s="26"/>
      <c r="DXU11" s="26"/>
      <c r="DXV11" s="27"/>
      <c r="DXW11" s="28"/>
      <c r="DXX11" s="26"/>
      <c r="DXY11" s="26"/>
      <c r="DYA11" s="25"/>
      <c r="DYB11" s="26"/>
      <c r="DYC11" s="26"/>
      <c r="DYD11" s="27"/>
      <c r="DYE11" s="28"/>
      <c r="DYF11" s="26"/>
      <c r="DYG11" s="26"/>
      <c r="DYI11" s="25"/>
      <c r="DYJ11" s="26"/>
      <c r="DYK11" s="26"/>
      <c r="DYL11" s="27"/>
      <c r="DYM11" s="28"/>
      <c r="DYN11" s="26"/>
      <c r="DYO11" s="26"/>
      <c r="DYQ11" s="25"/>
      <c r="DYR11" s="26"/>
      <c r="DYS11" s="26"/>
      <c r="DYT11" s="27"/>
      <c r="DYU11" s="28"/>
      <c r="DYV11" s="26"/>
      <c r="DYW11" s="26"/>
      <c r="DYY11" s="25"/>
      <c r="DYZ11" s="26"/>
      <c r="DZA11" s="26"/>
      <c r="DZB11" s="27"/>
      <c r="DZC11" s="28"/>
      <c r="DZD11" s="26"/>
      <c r="DZE11" s="26"/>
      <c r="DZG11" s="25"/>
      <c r="DZH11" s="26"/>
      <c r="DZI11" s="26"/>
      <c r="DZJ11" s="27"/>
      <c r="DZK11" s="28"/>
      <c r="DZL11" s="26"/>
      <c r="DZM11" s="26"/>
      <c r="DZO11" s="25"/>
      <c r="DZP11" s="26"/>
      <c r="DZQ11" s="26"/>
      <c r="DZR11" s="27"/>
      <c r="DZS11" s="28"/>
      <c r="DZT11" s="26"/>
      <c r="DZU11" s="26"/>
      <c r="DZW11" s="25"/>
      <c r="DZX11" s="26"/>
      <c r="DZY11" s="26"/>
      <c r="DZZ11" s="27"/>
      <c r="EAA11" s="28"/>
      <c r="EAB11" s="26"/>
      <c r="EAC11" s="26"/>
      <c r="EAE11" s="25"/>
      <c r="EAF11" s="26"/>
      <c r="EAG11" s="26"/>
      <c r="EAH11" s="27"/>
      <c r="EAI11" s="28"/>
      <c r="EAJ11" s="26"/>
      <c r="EAK11" s="26"/>
      <c r="EAM11" s="25"/>
      <c r="EAN11" s="26"/>
      <c r="EAO11" s="26"/>
      <c r="EAP11" s="27"/>
      <c r="EAQ11" s="28"/>
      <c r="EAR11" s="26"/>
      <c r="EAS11" s="26"/>
      <c r="EAU11" s="25"/>
      <c r="EAV11" s="26"/>
      <c r="EAW11" s="26"/>
      <c r="EAX11" s="27"/>
      <c r="EAY11" s="28"/>
      <c r="EAZ11" s="26"/>
      <c r="EBA11" s="26"/>
      <c r="EBC11" s="25"/>
      <c r="EBD11" s="26"/>
      <c r="EBE11" s="26"/>
      <c r="EBF11" s="27"/>
      <c r="EBG11" s="28"/>
      <c r="EBH11" s="26"/>
      <c r="EBI11" s="26"/>
      <c r="EBK11" s="25"/>
      <c r="EBL11" s="26"/>
      <c r="EBM11" s="26"/>
      <c r="EBN11" s="27"/>
      <c r="EBO11" s="28"/>
      <c r="EBP11" s="26"/>
      <c r="EBQ11" s="26"/>
      <c r="EBS11" s="25"/>
      <c r="EBT11" s="26"/>
      <c r="EBU11" s="26"/>
      <c r="EBV11" s="27"/>
      <c r="EBW11" s="28"/>
      <c r="EBX11" s="26"/>
      <c r="EBY11" s="26"/>
      <c r="ECA11" s="25"/>
      <c r="ECB11" s="26"/>
      <c r="ECC11" s="26"/>
      <c r="ECD11" s="27"/>
      <c r="ECE11" s="28"/>
      <c r="ECF11" s="26"/>
      <c r="ECG11" s="26"/>
      <c r="ECI11" s="25"/>
      <c r="ECJ11" s="26"/>
      <c r="ECK11" s="26"/>
      <c r="ECL11" s="27"/>
      <c r="ECM11" s="28"/>
      <c r="ECN11" s="26"/>
      <c r="ECO11" s="26"/>
      <c r="ECQ11" s="25"/>
      <c r="ECR11" s="26"/>
      <c r="ECS11" s="26"/>
      <c r="ECT11" s="27"/>
      <c r="ECU11" s="28"/>
      <c r="ECV11" s="26"/>
      <c r="ECW11" s="26"/>
      <c r="ECY11" s="25"/>
      <c r="ECZ11" s="26"/>
      <c r="EDA11" s="26"/>
      <c r="EDB11" s="27"/>
      <c r="EDC11" s="28"/>
      <c r="EDD11" s="26"/>
      <c r="EDE11" s="26"/>
      <c r="EDG11" s="25"/>
      <c r="EDH11" s="26"/>
      <c r="EDI11" s="26"/>
      <c r="EDJ11" s="27"/>
      <c r="EDK11" s="28"/>
      <c r="EDL11" s="26"/>
      <c r="EDM11" s="26"/>
      <c r="EDO11" s="25"/>
      <c r="EDP11" s="26"/>
      <c r="EDQ11" s="26"/>
      <c r="EDR11" s="27"/>
      <c r="EDS11" s="28"/>
      <c r="EDT11" s="26"/>
      <c r="EDU11" s="26"/>
      <c r="EDW11" s="25"/>
      <c r="EDX11" s="26"/>
      <c r="EDY11" s="26"/>
      <c r="EDZ11" s="27"/>
      <c r="EEA11" s="28"/>
      <c r="EEB11" s="26"/>
      <c r="EEC11" s="26"/>
      <c r="EEE11" s="25"/>
      <c r="EEF11" s="26"/>
      <c r="EEG11" s="26"/>
      <c r="EEH11" s="27"/>
      <c r="EEI11" s="28"/>
      <c r="EEJ11" s="26"/>
      <c r="EEK11" s="26"/>
      <c r="EEM11" s="25"/>
      <c r="EEN11" s="26"/>
      <c r="EEO11" s="26"/>
      <c r="EEP11" s="27"/>
      <c r="EEQ11" s="28"/>
      <c r="EER11" s="26"/>
      <c r="EES11" s="26"/>
      <c r="EEU11" s="25"/>
      <c r="EEV11" s="26"/>
      <c r="EEW11" s="26"/>
      <c r="EEX11" s="27"/>
      <c r="EEY11" s="28"/>
      <c r="EEZ11" s="26"/>
      <c r="EFA11" s="26"/>
      <c r="EFC11" s="25"/>
      <c r="EFD11" s="26"/>
      <c r="EFE11" s="26"/>
      <c r="EFF11" s="27"/>
      <c r="EFG11" s="28"/>
      <c r="EFH11" s="26"/>
      <c r="EFI11" s="26"/>
      <c r="EFK11" s="25"/>
      <c r="EFL11" s="26"/>
      <c r="EFM11" s="26"/>
      <c r="EFN11" s="27"/>
      <c r="EFO11" s="28"/>
      <c r="EFP11" s="26"/>
      <c r="EFQ11" s="26"/>
      <c r="EFS11" s="25"/>
      <c r="EFT11" s="26"/>
      <c r="EFU11" s="26"/>
      <c r="EFV11" s="27"/>
      <c r="EFW11" s="28"/>
      <c r="EFX11" s="26"/>
      <c r="EFY11" s="26"/>
      <c r="EGA11" s="25"/>
      <c r="EGB11" s="26"/>
      <c r="EGC11" s="26"/>
      <c r="EGD11" s="27"/>
      <c r="EGE11" s="28"/>
      <c r="EGF11" s="26"/>
      <c r="EGG11" s="26"/>
      <c r="EGI11" s="25"/>
      <c r="EGJ11" s="26"/>
      <c r="EGK11" s="26"/>
      <c r="EGL11" s="27"/>
      <c r="EGM11" s="28"/>
      <c r="EGN11" s="26"/>
      <c r="EGO11" s="26"/>
      <c r="EGQ11" s="25"/>
      <c r="EGR11" s="26"/>
      <c r="EGS11" s="26"/>
      <c r="EGT11" s="27"/>
      <c r="EGU11" s="28"/>
      <c r="EGV11" s="26"/>
      <c r="EGW11" s="26"/>
      <c r="EGY11" s="25"/>
      <c r="EGZ11" s="26"/>
      <c r="EHA11" s="26"/>
      <c r="EHB11" s="27"/>
      <c r="EHC11" s="28"/>
      <c r="EHD11" s="26"/>
      <c r="EHE11" s="26"/>
      <c r="EHG11" s="25"/>
      <c r="EHH11" s="26"/>
      <c r="EHI11" s="26"/>
      <c r="EHJ11" s="27"/>
      <c r="EHK11" s="28"/>
      <c r="EHL11" s="26"/>
      <c r="EHM11" s="26"/>
      <c r="EHO11" s="25"/>
      <c r="EHP11" s="26"/>
      <c r="EHQ11" s="26"/>
      <c r="EHR11" s="27"/>
      <c r="EHS11" s="28"/>
      <c r="EHT11" s="26"/>
      <c r="EHU11" s="26"/>
      <c r="EHW11" s="25"/>
      <c r="EHX11" s="26"/>
      <c r="EHY11" s="26"/>
      <c r="EHZ11" s="27"/>
      <c r="EIA11" s="28"/>
      <c r="EIB11" s="26"/>
      <c r="EIC11" s="26"/>
      <c r="EIE11" s="25"/>
      <c r="EIF11" s="26"/>
      <c r="EIG11" s="26"/>
      <c r="EIH11" s="27"/>
      <c r="EII11" s="28"/>
      <c r="EIJ11" s="26"/>
      <c r="EIK11" s="26"/>
      <c r="EIM11" s="25"/>
      <c r="EIN11" s="26"/>
      <c r="EIO11" s="26"/>
      <c r="EIP11" s="27"/>
      <c r="EIQ11" s="28"/>
      <c r="EIR11" s="26"/>
      <c r="EIS11" s="26"/>
      <c r="EIU11" s="25"/>
      <c r="EIV11" s="26"/>
      <c r="EIW11" s="26"/>
      <c r="EIX11" s="27"/>
      <c r="EIY11" s="28"/>
      <c r="EIZ11" s="26"/>
      <c r="EJA11" s="26"/>
      <c r="EJC11" s="25"/>
      <c r="EJD11" s="26"/>
      <c r="EJE11" s="26"/>
      <c r="EJF11" s="27"/>
      <c r="EJG11" s="28"/>
      <c r="EJH11" s="26"/>
      <c r="EJI11" s="26"/>
      <c r="EJK11" s="25"/>
      <c r="EJL11" s="26"/>
      <c r="EJM11" s="26"/>
      <c r="EJN11" s="27"/>
      <c r="EJO11" s="28"/>
      <c r="EJP11" s="26"/>
      <c r="EJQ11" s="26"/>
      <c r="EJS11" s="25"/>
      <c r="EJT11" s="26"/>
      <c r="EJU11" s="26"/>
      <c r="EJV11" s="27"/>
      <c r="EJW11" s="28"/>
      <c r="EJX11" s="26"/>
      <c r="EJY11" s="26"/>
      <c r="EKA11" s="25"/>
      <c r="EKB11" s="26"/>
      <c r="EKC11" s="26"/>
      <c r="EKD11" s="27"/>
      <c r="EKE11" s="28"/>
      <c r="EKF11" s="26"/>
      <c r="EKG11" s="26"/>
      <c r="EKI11" s="25"/>
      <c r="EKJ11" s="26"/>
      <c r="EKK11" s="26"/>
      <c r="EKL11" s="27"/>
      <c r="EKM11" s="28"/>
      <c r="EKN11" s="26"/>
      <c r="EKO11" s="26"/>
      <c r="EKQ11" s="25"/>
      <c r="EKR11" s="26"/>
      <c r="EKS11" s="26"/>
      <c r="EKT11" s="27"/>
      <c r="EKU11" s="28"/>
      <c r="EKV11" s="26"/>
      <c r="EKW11" s="26"/>
      <c r="EKY11" s="25"/>
      <c r="EKZ11" s="26"/>
      <c r="ELA11" s="26"/>
      <c r="ELB11" s="27"/>
      <c r="ELC11" s="28"/>
      <c r="ELD11" s="26"/>
      <c r="ELE11" s="26"/>
      <c r="ELG11" s="25"/>
      <c r="ELH11" s="26"/>
      <c r="ELI11" s="26"/>
      <c r="ELJ11" s="27"/>
      <c r="ELK11" s="28"/>
      <c r="ELL11" s="26"/>
      <c r="ELM11" s="26"/>
      <c r="ELO11" s="25"/>
      <c r="ELP11" s="26"/>
      <c r="ELQ11" s="26"/>
      <c r="ELR11" s="27"/>
      <c r="ELS11" s="28"/>
      <c r="ELT11" s="26"/>
      <c r="ELU11" s="26"/>
      <c r="ELW11" s="25"/>
      <c r="ELX11" s="26"/>
      <c r="ELY11" s="26"/>
      <c r="ELZ11" s="27"/>
      <c r="EMA11" s="28"/>
      <c r="EMB11" s="26"/>
      <c r="EMC11" s="26"/>
      <c r="EME11" s="25"/>
      <c r="EMF11" s="26"/>
      <c r="EMG11" s="26"/>
      <c r="EMH11" s="27"/>
      <c r="EMI11" s="28"/>
      <c r="EMJ11" s="26"/>
      <c r="EMK11" s="26"/>
      <c r="EMM11" s="25"/>
      <c r="EMN11" s="26"/>
      <c r="EMO11" s="26"/>
      <c r="EMP11" s="27"/>
      <c r="EMQ11" s="28"/>
      <c r="EMR11" s="26"/>
      <c r="EMS11" s="26"/>
      <c r="EMU11" s="25"/>
      <c r="EMV11" s="26"/>
      <c r="EMW11" s="26"/>
      <c r="EMX11" s="27"/>
      <c r="EMY11" s="28"/>
      <c r="EMZ11" s="26"/>
      <c r="ENA11" s="26"/>
      <c r="ENC11" s="25"/>
      <c r="END11" s="26"/>
      <c r="ENE11" s="26"/>
      <c r="ENF11" s="27"/>
      <c r="ENG11" s="28"/>
      <c r="ENH11" s="26"/>
      <c r="ENI11" s="26"/>
      <c r="ENK11" s="25"/>
      <c r="ENL11" s="26"/>
      <c r="ENM11" s="26"/>
      <c r="ENN11" s="27"/>
      <c r="ENO11" s="28"/>
      <c r="ENP11" s="26"/>
      <c r="ENQ11" s="26"/>
      <c r="ENS11" s="25"/>
      <c r="ENT11" s="26"/>
      <c r="ENU11" s="26"/>
      <c r="ENV11" s="27"/>
      <c r="ENW11" s="28"/>
      <c r="ENX11" s="26"/>
      <c r="ENY11" s="26"/>
      <c r="EOA11" s="25"/>
      <c r="EOB11" s="26"/>
      <c r="EOC11" s="26"/>
      <c r="EOD11" s="27"/>
      <c r="EOE11" s="28"/>
      <c r="EOF11" s="26"/>
      <c r="EOG11" s="26"/>
      <c r="EOI11" s="25"/>
      <c r="EOJ11" s="26"/>
      <c r="EOK11" s="26"/>
      <c r="EOL11" s="27"/>
      <c r="EOM11" s="28"/>
      <c r="EON11" s="26"/>
      <c r="EOO11" s="26"/>
      <c r="EOQ11" s="25"/>
      <c r="EOR11" s="26"/>
      <c r="EOS11" s="26"/>
      <c r="EOT11" s="27"/>
      <c r="EOU11" s="28"/>
      <c r="EOV11" s="26"/>
      <c r="EOW11" s="26"/>
      <c r="EOY11" s="25"/>
      <c r="EOZ11" s="26"/>
      <c r="EPA11" s="26"/>
      <c r="EPB11" s="27"/>
      <c r="EPC11" s="28"/>
      <c r="EPD11" s="26"/>
      <c r="EPE11" s="26"/>
      <c r="EPG11" s="25"/>
      <c r="EPH11" s="26"/>
      <c r="EPI11" s="26"/>
      <c r="EPJ11" s="27"/>
      <c r="EPK11" s="28"/>
      <c r="EPL11" s="26"/>
      <c r="EPM11" s="26"/>
      <c r="EPO11" s="25"/>
      <c r="EPP11" s="26"/>
      <c r="EPQ11" s="26"/>
      <c r="EPR11" s="27"/>
      <c r="EPS11" s="28"/>
      <c r="EPT11" s="26"/>
      <c r="EPU11" s="26"/>
      <c r="EPW11" s="25"/>
      <c r="EPX11" s="26"/>
      <c r="EPY11" s="26"/>
      <c r="EPZ11" s="27"/>
      <c r="EQA11" s="28"/>
      <c r="EQB11" s="26"/>
      <c r="EQC11" s="26"/>
      <c r="EQE11" s="25"/>
      <c r="EQF11" s="26"/>
      <c r="EQG11" s="26"/>
      <c r="EQH11" s="27"/>
      <c r="EQI11" s="28"/>
      <c r="EQJ11" s="26"/>
      <c r="EQK11" s="26"/>
      <c r="EQM11" s="25"/>
      <c r="EQN11" s="26"/>
      <c r="EQO11" s="26"/>
      <c r="EQP11" s="27"/>
      <c r="EQQ11" s="28"/>
      <c r="EQR11" s="26"/>
      <c r="EQS11" s="26"/>
      <c r="EQU11" s="25"/>
      <c r="EQV11" s="26"/>
      <c r="EQW11" s="26"/>
      <c r="EQX11" s="27"/>
      <c r="EQY11" s="28"/>
      <c r="EQZ11" s="26"/>
      <c r="ERA11" s="26"/>
      <c r="ERC11" s="25"/>
      <c r="ERD11" s="26"/>
      <c r="ERE11" s="26"/>
      <c r="ERF11" s="27"/>
      <c r="ERG11" s="28"/>
      <c r="ERH11" s="26"/>
      <c r="ERI11" s="26"/>
      <c r="ERK11" s="25"/>
      <c r="ERL11" s="26"/>
      <c r="ERM11" s="26"/>
      <c r="ERN11" s="27"/>
      <c r="ERO11" s="28"/>
      <c r="ERP11" s="26"/>
      <c r="ERQ11" s="26"/>
      <c r="ERS11" s="25"/>
      <c r="ERT11" s="26"/>
      <c r="ERU11" s="26"/>
      <c r="ERV11" s="27"/>
      <c r="ERW11" s="28"/>
      <c r="ERX11" s="26"/>
      <c r="ERY11" s="26"/>
      <c r="ESA11" s="25"/>
      <c r="ESB11" s="26"/>
      <c r="ESC11" s="26"/>
      <c r="ESD11" s="27"/>
      <c r="ESE11" s="28"/>
      <c r="ESF11" s="26"/>
      <c r="ESG11" s="26"/>
      <c r="ESI11" s="25"/>
      <c r="ESJ11" s="26"/>
      <c r="ESK11" s="26"/>
      <c r="ESL11" s="27"/>
      <c r="ESM11" s="28"/>
      <c r="ESN11" s="26"/>
      <c r="ESO11" s="26"/>
      <c r="ESQ11" s="25"/>
      <c r="ESR11" s="26"/>
      <c r="ESS11" s="26"/>
      <c r="EST11" s="27"/>
      <c r="ESU11" s="28"/>
      <c r="ESV11" s="26"/>
      <c r="ESW11" s="26"/>
      <c r="ESY11" s="25"/>
      <c r="ESZ11" s="26"/>
      <c r="ETA11" s="26"/>
      <c r="ETB11" s="27"/>
      <c r="ETC11" s="28"/>
      <c r="ETD11" s="26"/>
      <c r="ETE11" s="26"/>
      <c r="ETG11" s="25"/>
      <c r="ETH11" s="26"/>
      <c r="ETI11" s="26"/>
      <c r="ETJ11" s="27"/>
      <c r="ETK11" s="28"/>
      <c r="ETL11" s="26"/>
      <c r="ETM11" s="26"/>
      <c r="ETO11" s="25"/>
      <c r="ETP11" s="26"/>
      <c r="ETQ11" s="26"/>
      <c r="ETR11" s="27"/>
      <c r="ETS11" s="28"/>
      <c r="ETT11" s="26"/>
      <c r="ETU11" s="26"/>
      <c r="ETW11" s="25"/>
      <c r="ETX11" s="26"/>
      <c r="ETY11" s="26"/>
      <c r="ETZ11" s="27"/>
      <c r="EUA11" s="28"/>
      <c r="EUB11" s="26"/>
      <c r="EUC11" s="26"/>
      <c r="EUE11" s="25"/>
      <c r="EUF11" s="26"/>
      <c r="EUG11" s="26"/>
      <c r="EUH11" s="27"/>
      <c r="EUI11" s="28"/>
      <c r="EUJ11" s="26"/>
      <c r="EUK11" s="26"/>
      <c r="EUM11" s="25"/>
      <c r="EUN11" s="26"/>
      <c r="EUO11" s="26"/>
      <c r="EUP11" s="27"/>
      <c r="EUQ11" s="28"/>
      <c r="EUR11" s="26"/>
      <c r="EUS11" s="26"/>
      <c r="EUU11" s="25"/>
      <c r="EUV11" s="26"/>
      <c r="EUW11" s="26"/>
      <c r="EUX11" s="27"/>
      <c r="EUY11" s="28"/>
      <c r="EUZ11" s="26"/>
      <c r="EVA11" s="26"/>
      <c r="EVC11" s="25"/>
      <c r="EVD11" s="26"/>
      <c r="EVE11" s="26"/>
      <c r="EVF11" s="27"/>
      <c r="EVG11" s="28"/>
      <c r="EVH11" s="26"/>
      <c r="EVI11" s="26"/>
      <c r="EVK11" s="25"/>
      <c r="EVL11" s="26"/>
      <c r="EVM11" s="26"/>
      <c r="EVN11" s="27"/>
      <c r="EVO11" s="28"/>
      <c r="EVP11" s="26"/>
      <c r="EVQ11" s="26"/>
      <c r="EVS11" s="25"/>
      <c r="EVT11" s="26"/>
      <c r="EVU11" s="26"/>
      <c r="EVV11" s="27"/>
      <c r="EVW11" s="28"/>
      <c r="EVX11" s="26"/>
      <c r="EVY11" s="26"/>
      <c r="EWA11" s="25"/>
      <c r="EWB11" s="26"/>
      <c r="EWC11" s="26"/>
      <c r="EWD11" s="27"/>
      <c r="EWE11" s="28"/>
      <c r="EWF11" s="26"/>
      <c r="EWG11" s="26"/>
      <c r="EWI11" s="25"/>
      <c r="EWJ11" s="26"/>
      <c r="EWK11" s="26"/>
      <c r="EWL11" s="27"/>
      <c r="EWM11" s="28"/>
      <c r="EWN11" s="26"/>
      <c r="EWO11" s="26"/>
      <c r="EWQ11" s="25"/>
      <c r="EWR11" s="26"/>
      <c r="EWS11" s="26"/>
      <c r="EWT11" s="27"/>
      <c r="EWU11" s="28"/>
      <c r="EWV11" s="26"/>
      <c r="EWW11" s="26"/>
      <c r="EWY11" s="25"/>
      <c r="EWZ11" s="26"/>
      <c r="EXA11" s="26"/>
      <c r="EXB11" s="27"/>
      <c r="EXC11" s="28"/>
      <c r="EXD11" s="26"/>
      <c r="EXE11" s="26"/>
      <c r="EXG11" s="25"/>
      <c r="EXH11" s="26"/>
      <c r="EXI11" s="26"/>
      <c r="EXJ11" s="27"/>
      <c r="EXK11" s="28"/>
      <c r="EXL11" s="26"/>
      <c r="EXM11" s="26"/>
      <c r="EXO11" s="25"/>
      <c r="EXP11" s="26"/>
      <c r="EXQ11" s="26"/>
      <c r="EXR11" s="27"/>
      <c r="EXS11" s="28"/>
      <c r="EXT11" s="26"/>
      <c r="EXU11" s="26"/>
      <c r="EXW11" s="25"/>
      <c r="EXX11" s="26"/>
      <c r="EXY11" s="26"/>
      <c r="EXZ11" s="27"/>
      <c r="EYA11" s="28"/>
      <c r="EYB11" s="26"/>
      <c r="EYC11" s="26"/>
      <c r="EYE11" s="25"/>
      <c r="EYF11" s="26"/>
      <c r="EYG11" s="26"/>
      <c r="EYH11" s="27"/>
      <c r="EYI11" s="28"/>
      <c r="EYJ11" s="26"/>
      <c r="EYK11" s="26"/>
      <c r="EYM11" s="25"/>
      <c r="EYN11" s="26"/>
      <c r="EYO11" s="26"/>
      <c r="EYP11" s="27"/>
      <c r="EYQ11" s="28"/>
      <c r="EYR11" s="26"/>
      <c r="EYS11" s="26"/>
      <c r="EYU11" s="25"/>
      <c r="EYV11" s="26"/>
      <c r="EYW11" s="26"/>
      <c r="EYX11" s="27"/>
      <c r="EYY11" s="28"/>
      <c r="EYZ11" s="26"/>
      <c r="EZA11" s="26"/>
      <c r="EZC11" s="25"/>
      <c r="EZD11" s="26"/>
      <c r="EZE11" s="26"/>
      <c r="EZF11" s="27"/>
      <c r="EZG11" s="28"/>
      <c r="EZH11" s="26"/>
      <c r="EZI11" s="26"/>
      <c r="EZK11" s="25"/>
      <c r="EZL11" s="26"/>
      <c r="EZM11" s="26"/>
      <c r="EZN11" s="27"/>
      <c r="EZO11" s="28"/>
      <c r="EZP11" s="26"/>
      <c r="EZQ11" s="26"/>
      <c r="EZS11" s="25"/>
      <c r="EZT11" s="26"/>
      <c r="EZU11" s="26"/>
      <c r="EZV11" s="27"/>
      <c r="EZW11" s="28"/>
      <c r="EZX11" s="26"/>
      <c r="EZY11" s="26"/>
      <c r="FAA11" s="25"/>
      <c r="FAB11" s="26"/>
      <c r="FAC11" s="26"/>
      <c r="FAD11" s="27"/>
      <c r="FAE11" s="28"/>
      <c r="FAF11" s="26"/>
      <c r="FAG11" s="26"/>
      <c r="FAI11" s="25"/>
      <c r="FAJ11" s="26"/>
      <c r="FAK11" s="26"/>
      <c r="FAL11" s="27"/>
      <c r="FAM11" s="28"/>
      <c r="FAN11" s="26"/>
      <c r="FAO11" s="26"/>
      <c r="FAQ11" s="25"/>
      <c r="FAR11" s="26"/>
      <c r="FAS11" s="26"/>
      <c r="FAT11" s="27"/>
      <c r="FAU11" s="28"/>
      <c r="FAV11" s="26"/>
      <c r="FAW11" s="26"/>
      <c r="FAY11" s="25"/>
      <c r="FAZ11" s="26"/>
      <c r="FBA11" s="26"/>
      <c r="FBB11" s="27"/>
      <c r="FBC11" s="28"/>
      <c r="FBD11" s="26"/>
      <c r="FBE11" s="26"/>
      <c r="FBG11" s="25"/>
      <c r="FBH11" s="26"/>
      <c r="FBI11" s="26"/>
      <c r="FBJ11" s="27"/>
      <c r="FBK11" s="28"/>
      <c r="FBL11" s="26"/>
      <c r="FBM11" s="26"/>
      <c r="FBO11" s="25"/>
      <c r="FBP11" s="26"/>
      <c r="FBQ11" s="26"/>
      <c r="FBR11" s="27"/>
      <c r="FBS11" s="28"/>
      <c r="FBT11" s="26"/>
      <c r="FBU11" s="26"/>
      <c r="FBW11" s="25"/>
      <c r="FBX11" s="26"/>
      <c r="FBY11" s="26"/>
      <c r="FBZ11" s="27"/>
      <c r="FCA11" s="28"/>
      <c r="FCB11" s="26"/>
      <c r="FCC11" s="26"/>
      <c r="FCE11" s="25"/>
      <c r="FCF11" s="26"/>
      <c r="FCG11" s="26"/>
      <c r="FCH11" s="27"/>
      <c r="FCI11" s="28"/>
      <c r="FCJ11" s="26"/>
      <c r="FCK11" s="26"/>
      <c r="FCM11" s="25"/>
      <c r="FCN11" s="26"/>
      <c r="FCO11" s="26"/>
      <c r="FCP11" s="27"/>
      <c r="FCQ11" s="28"/>
      <c r="FCR11" s="26"/>
      <c r="FCS11" s="26"/>
      <c r="FCU11" s="25"/>
      <c r="FCV11" s="26"/>
      <c r="FCW11" s="26"/>
      <c r="FCX11" s="27"/>
      <c r="FCY11" s="28"/>
      <c r="FCZ11" s="26"/>
      <c r="FDA11" s="26"/>
      <c r="FDC11" s="25"/>
      <c r="FDD11" s="26"/>
      <c r="FDE11" s="26"/>
      <c r="FDF11" s="27"/>
      <c r="FDG11" s="28"/>
      <c r="FDH11" s="26"/>
      <c r="FDI11" s="26"/>
      <c r="FDK11" s="25"/>
      <c r="FDL11" s="26"/>
      <c r="FDM11" s="26"/>
      <c r="FDN11" s="27"/>
      <c r="FDO11" s="28"/>
      <c r="FDP11" s="26"/>
      <c r="FDQ11" s="26"/>
      <c r="FDS11" s="25"/>
      <c r="FDT11" s="26"/>
      <c r="FDU11" s="26"/>
      <c r="FDV11" s="27"/>
      <c r="FDW11" s="28"/>
      <c r="FDX11" s="26"/>
      <c r="FDY11" s="26"/>
      <c r="FEA11" s="25"/>
      <c r="FEB11" s="26"/>
      <c r="FEC11" s="26"/>
      <c r="FED11" s="27"/>
      <c r="FEE11" s="28"/>
      <c r="FEF11" s="26"/>
      <c r="FEG11" s="26"/>
      <c r="FEI11" s="25"/>
      <c r="FEJ11" s="26"/>
      <c r="FEK11" s="26"/>
      <c r="FEL11" s="27"/>
      <c r="FEM11" s="28"/>
      <c r="FEN11" s="26"/>
      <c r="FEO11" s="26"/>
      <c r="FEQ11" s="25"/>
      <c r="FER11" s="26"/>
      <c r="FES11" s="26"/>
      <c r="FET11" s="27"/>
      <c r="FEU11" s="28"/>
      <c r="FEV11" s="26"/>
      <c r="FEW11" s="26"/>
      <c r="FEY11" s="25"/>
      <c r="FEZ11" s="26"/>
      <c r="FFA11" s="26"/>
      <c r="FFB11" s="27"/>
      <c r="FFC11" s="28"/>
      <c r="FFD11" s="26"/>
      <c r="FFE11" s="26"/>
      <c r="FFG11" s="25"/>
      <c r="FFH11" s="26"/>
      <c r="FFI11" s="26"/>
      <c r="FFJ11" s="27"/>
      <c r="FFK11" s="28"/>
      <c r="FFL11" s="26"/>
      <c r="FFM11" s="26"/>
      <c r="FFO11" s="25"/>
      <c r="FFP11" s="26"/>
      <c r="FFQ11" s="26"/>
      <c r="FFR11" s="27"/>
      <c r="FFS11" s="28"/>
      <c r="FFT11" s="26"/>
      <c r="FFU11" s="26"/>
      <c r="FFW11" s="25"/>
      <c r="FFX11" s="26"/>
      <c r="FFY11" s="26"/>
      <c r="FFZ11" s="27"/>
      <c r="FGA11" s="28"/>
      <c r="FGB11" s="26"/>
      <c r="FGC11" s="26"/>
      <c r="FGE11" s="25"/>
      <c r="FGF11" s="26"/>
      <c r="FGG11" s="26"/>
      <c r="FGH11" s="27"/>
      <c r="FGI11" s="28"/>
      <c r="FGJ11" s="26"/>
      <c r="FGK11" s="26"/>
      <c r="FGM11" s="25"/>
      <c r="FGN11" s="26"/>
      <c r="FGO11" s="26"/>
      <c r="FGP11" s="27"/>
      <c r="FGQ11" s="28"/>
      <c r="FGR11" s="26"/>
      <c r="FGS11" s="26"/>
      <c r="FGU11" s="25"/>
      <c r="FGV11" s="26"/>
      <c r="FGW11" s="26"/>
      <c r="FGX11" s="27"/>
      <c r="FGY11" s="28"/>
      <c r="FGZ11" s="26"/>
      <c r="FHA11" s="26"/>
      <c r="FHC11" s="25"/>
      <c r="FHD11" s="26"/>
      <c r="FHE11" s="26"/>
      <c r="FHF11" s="27"/>
      <c r="FHG11" s="28"/>
      <c r="FHH11" s="26"/>
      <c r="FHI11" s="26"/>
      <c r="FHK11" s="25"/>
      <c r="FHL11" s="26"/>
      <c r="FHM11" s="26"/>
      <c r="FHN11" s="27"/>
      <c r="FHO11" s="28"/>
      <c r="FHP11" s="26"/>
      <c r="FHQ11" s="26"/>
      <c r="FHS11" s="25"/>
      <c r="FHT11" s="26"/>
      <c r="FHU11" s="26"/>
      <c r="FHV11" s="27"/>
      <c r="FHW11" s="28"/>
      <c r="FHX11" s="26"/>
      <c r="FHY11" s="26"/>
      <c r="FIA11" s="25"/>
      <c r="FIB11" s="26"/>
      <c r="FIC11" s="26"/>
      <c r="FID11" s="27"/>
      <c r="FIE11" s="28"/>
      <c r="FIF11" s="26"/>
      <c r="FIG11" s="26"/>
      <c r="FII11" s="25"/>
      <c r="FIJ11" s="26"/>
      <c r="FIK11" s="26"/>
      <c r="FIL11" s="27"/>
      <c r="FIM11" s="28"/>
      <c r="FIN11" s="26"/>
      <c r="FIO11" s="26"/>
      <c r="FIQ11" s="25"/>
      <c r="FIR11" s="26"/>
      <c r="FIS11" s="26"/>
      <c r="FIT11" s="27"/>
      <c r="FIU11" s="28"/>
      <c r="FIV11" s="26"/>
      <c r="FIW11" s="26"/>
      <c r="FIY11" s="25"/>
      <c r="FIZ11" s="26"/>
      <c r="FJA11" s="26"/>
      <c r="FJB11" s="27"/>
      <c r="FJC11" s="28"/>
      <c r="FJD11" s="26"/>
      <c r="FJE11" s="26"/>
      <c r="FJG11" s="25"/>
      <c r="FJH11" s="26"/>
      <c r="FJI11" s="26"/>
      <c r="FJJ11" s="27"/>
      <c r="FJK11" s="28"/>
      <c r="FJL11" s="26"/>
      <c r="FJM11" s="26"/>
      <c r="FJO11" s="25"/>
      <c r="FJP11" s="26"/>
      <c r="FJQ11" s="26"/>
      <c r="FJR11" s="27"/>
      <c r="FJS11" s="28"/>
      <c r="FJT11" s="26"/>
      <c r="FJU11" s="26"/>
      <c r="FJW11" s="25"/>
      <c r="FJX11" s="26"/>
      <c r="FJY11" s="26"/>
      <c r="FJZ11" s="27"/>
      <c r="FKA11" s="28"/>
      <c r="FKB11" s="26"/>
      <c r="FKC11" s="26"/>
      <c r="FKE11" s="25"/>
      <c r="FKF11" s="26"/>
      <c r="FKG11" s="26"/>
      <c r="FKH11" s="27"/>
      <c r="FKI11" s="28"/>
      <c r="FKJ11" s="26"/>
      <c r="FKK11" s="26"/>
      <c r="FKM11" s="25"/>
      <c r="FKN11" s="26"/>
      <c r="FKO11" s="26"/>
      <c r="FKP11" s="27"/>
      <c r="FKQ11" s="28"/>
      <c r="FKR11" s="26"/>
      <c r="FKS11" s="26"/>
      <c r="FKU11" s="25"/>
      <c r="FKV11" s="26"/>
      <c r="FKW11" s="26"/>
      <c r="FKX11" s="27"/>
      <c r="FKY11" s="28"/>
      <c r="FKZ11" s="26"/>
      <c r="FLA11" s="26"/>
      <c r="FLC11" s="25"/>
      <c r="FLD11" s="26"/>
      <c r="FLE11" s="26"/>
      <c r="FLF11" s="27"/>
      <c r="FLG11" s="28"/>
      <c r="FLH11" s="26"/>
      <c r="FLI11" s="26"/>
      <c r="FLK11" s="25"/>
      <c r="FLL11" s="26"/>
      <c r="FLM11" s="26"/>
      <c r="FLN11" s="27"/>
      <c r="FLO11" s="28"/>
      <c r="FLP11" s="26"/>
      <c r="FLQ11" s="26"/>
      <c r="FLS11" s="25"/>
      <c r="FLT11" s="26"/>
      <c r="FLU11" s="26"/>
      <c r="FLV11" s="27"/>
      <c r="FLW11" s="28"/>
      <c r="FLX11" s="26"/>
      <c r="FLY11" s="26"/>
      <c r="FMA11" s="25"/>
      <c r="FMB11" s="26"/>
      <c r="FMC11" s="26"/>
      <c r="FMD11" s="27"/>
      <c r="FME11" s="28"/>
      <c r="FMF11" s="26"/>
      <c r="FMG11" s="26"/>
      <c r="FMI11" s="25"/>
      <c r="FMJ11" s="26"/>
      <c r="FMK11" s="26"/>
      <c r="FML11" s="27"/>
      <c r="FMM11" s="28"/>
      <c r="FMN11" s="26"/>
      <c r="FMO11" s="26"/>
      <c r="FMQ11" s="25"/>
      <c r="FMR11" s="26"/>
      <c r="FMS11" s="26"/>
      <c r="FMT11" s="27"/>
      <c r="FMU11" s="28"/>
      <c r="FMV11" s="26"/>
      <c r="FMW11" s="26"/>
      <c r="FMY11" s="25"/>
      <c r="FMZ11" s="26"/>
      <c r="FNA11" s="26"/>
      <c r="FNB11" s="27"/>
      <c r="FNC11" s="28"/>
      <c r="FND11" s="26"/>
      <c r="FNE11" s="26"/>
      <c r="FNG11" s="25"/>
      <c r="FNH11" s="26"/>
      <c r="FNI11" s="26"/>
      <c r="FNJ11" s="27"/>
      <c r="FNK11" s="28"/>
      <c r="FNL11" s="26"/>
      <c r="FNM11" s="26"/>
      <c r="FNO11" s="25"/>
      <c r="FNP11" s="26"/>
      <c r="FNQ11" s="26"/>
      <c r="FNR11" s="27"/>
      <c r="FNS11" s="28"/>
      <c r="FNT11" s="26"/>
      <c r="FNU11" s="26"/>
      <c r="FNW11" s="25"/>
      <c r="FNX11" s="26"/>
      <c r="FNY11" s="26"/>
      <c r="FNZ11" s="27"/>
      <c r="FOA11" s="28"/>
      <c r="FOB11" s="26"/>
      <c r="FOC11" s="26"/>
      <c r="FOE11" s="25"/>
      <c r="FOF11" s="26"/>
      <c r="FOG11" s="26"/>
      <c r="FOH11" s="27"/>
      <c r="FOI11" s="28"/>
      <c r="FOJ11" s="26"/>
      <c r="FOK11" s="26"/>
      <c r="FOM11" s="25"/>
      <c r="FON11" s="26"/>
      <c r="FOO11" s="26"/>
      <c r="FOP11" s="27"/>
      <c r="FOQ11" s="28"/>
      <c r="FOR11" s="26"/>
      <c r="FOS11" s="26"/>
      <c r="FOU11" s="25"/>
      <c r="FOV11" s="26"/>
      <c r="FOW11" s="26"/>
      <c r="FOX11" s="27"/>
      <c r="FOY11" s="28"/>
      <c r="FOZ11" s="26"/>
      <c r="FPA11" s="26"/>
      <c r="FPC11" s="25"/>
      <c r="FPD11" s="26"/>
      <c r="FPE11" s="26"/>
      <c r="FPF11" s="27"/>
      <c r="FPG11" s="28"/>
      <c r="FPH11" s="26"/>
      <c r="FPI11" s="26"/>
      <c r="FPK11" s="25"/>
      <c r="FPL11" s="26"/>
      <c r="FPM11" s="26"/>
      <c r="FPN11" s="27"/>
      <c r="FPO11" s="28"/>
      <c r="FPP11" s="26"/>
      <c r="FPQ11" s="26"/>
      <c r="FPS11" s="25"/>
      <c r="FPT11" s="26"/>
      <c r="FPU11" s="26"/>
      <c r="FPV11" s="27"/>
      <c r="FPW11" s="28"/>
      <c r="FPX11" s="26"/>
      <c r="FPY11" s="26"/>
      <c r="FQA11" s="25"/>
      <c r="FQB11" s="26"/>
      <c r="FQC11" s="26"/>
      <c r="FQD11" s="27"/>
      <c r="FQE11" s="28"/>
      <c r="FQF11" s="26"/>
      <c r="FQG11" s="26"/>
      <c r="FQI11" s="25"/>
      <c r="FQJ11" s="26"/>
      <c r="FQK11" s="26"/>
      <c r="FQL11" s="27"/>
      <c r="FQM11" s="28"/>
      <c r="FQN11" s="26"/>
      <c r="FQO11" s="26"/>
      <c r="FQQ11" s="25"/>
      <c r="FQR11" s="26"/>
      <c r="FQS11" s="26"/>
      <c r="FQT11" s="27"/>
      <c r="FQU11" s="28"/>
      <c r="FQV11" s="26"/>
      <c r="FQW11" s="26"/>
      <c r="FQY11" s="25"/>
      <c r="FQZ11" s="26"/>
      <c r="FRA11" s="26"/>
      <c r="FRB11" s="27"/>
      <c r="FRC11" s="28"/>
      <c r="FRD11" s="26"/>
      <c r="FRE11" s="26"/>
      <c r="FRG11" s="25"/>
      <c r="FRH11" s="26"/>
      <c r="FRI11" s="26"/>
      <c r="FRJ11" s="27"/>
      <c r="FRK11" s="28"/>
      <c r="FRL11" s="26"/>
      <c r="FRM11" s="26"/>
      <c r="FRO11" s="25"/>
      <c r="FRP11" s="26"/>
      <c r="FRQ11" s="26"/>
      <c r="FRR11" s="27"/>
      <c r="FRS11" s="28"/>
      <c r="FRT11" s="26"/>
      <c r="FRU11" s="26"/>
      <c r="FRW11" s="25"/>
      <c r="FRX11" s="26"/>
      <c r="FRY11" s="26"/>
      <c r="FRZ11" s="27"/>
      <c r="FSA11" s="28"/>
      <c r="FSB11" s="26"/>
      <c r="FSC11" s="26"/>
      <c r="FSE11" s="25"/>
      <c r="FSF11" s="26"/>
      <c r="FSG11" s="26"/>
      <c r="FSH11" s="27"/>
      <c r="FSI11" s="28"/>
      <c r="FSJ11" s="26"/>
      <c r="FSK11" s="26"/>
      <c r="FSM11" s="25"/>
      <c r="FSN11" s="26"/>
      <c r="FSO11" s="26"/>
      <c r="FSP11" s="27"/>
      <c r="FSQ11" s="28"/>
      <c r="FSR11" s="26"/>
      <c r="FSS11" s="26"/>
      <c r="FSU11" s="25"/>
      <c r="FSV11" s="26"/>
      <c r="FSW11" s="26"/>
      <c r="FSX11" s="27"/>
      <c r="FSY11" s="28"/>
      <c r="FSZ11" s="26"/>
      <c r="FTA11" s="26"/>
      <c r="FTC11" s="25"/>
      <c r="FTD11" s="26"/>
      <c r="FTE11" s="26"/>
      <c r="FTF11" s="27"/>
      <c r="FTG11" s="28"/>
      <c r="FTH11" s="26"/>
      <c r="FTI11" s="26"/>
      <c r="FTK11" s="25"/>
      <c r="FTL11" s="26"/>
      <c r="FTM11" s="26"/>
      <c r="FTN11" s="27"/>
      <c r="FTO11" s="28"/>
      <c r="FTP11" s="26"/>
      <c r="FTQ11" s="26"/>
      <c r="FTS11" s="25"/>
      <c r="FTT11" s="26"/>
      <c r="FTU11" s="26"/>
      <c r="FTV11" s="27"/>
      <c r="FTW11" s="28"/>
      <c r="FTX11" s="26"/>
      <c r="FTY11" s="26"/>
      <c r="FUA11" s="25"/>
      <c r="FUB11" s="26"/>
      <c r="FUC11" s="26"/>
      <c r="FUD11" s="27"/>
      <c r="FUE11" s="28"/>
      <c r="FUF11" s="26"/>
      <c r="FUG11" s="26"/>
      <c r="FUI11" s="25"/>
      <c r="FUJ11" s="26"/>
      <c r="FUK11" s="26"/>
      <c r="FUL11" s="27"/>
      <c r="FUM11" s="28"/>
      <c r="FUN11" s="26"/>
      <c r="FUO11" s="26"/>
      <c r="FUQ11" s="25"/>
      <c r="FUR11" s="26"/>
      <c r="FUS11" s="26"/>
      <c r="FUT11" s="27"/>
      <c r="FUU11" s="28"/>
      <c r="FUV11" s="26"/>
      <c r="FUW11" s="26"/>
      <c r="FUY11" s="25"/>
      <c r="FUZ11" s="26"/>
      <c r="FVA11" s="26"/>
      <c r="FVB11" s="27"/>
      <c r="FVC11" s="28"/>
      <c r="FVD11" s="26"/>
      <c r="FVE11" s="26"/>
      <c r="FVG11" s="25"/>
      <c r="FVH11" s="26"/>
      <c r="FVI11" s="26"/>
      <c r="FVJ11" s="27"/>
      <c r="FVK11" s="28"/>
      <c r="FVL11" s="26"/>
      <c r="FVM11" s="26"/>
      <c r="FVO11" s="25"/>
      <c r="FVP11" s="26"/>
      <c r="FVQ11" s="26"/>
      <c r="FVR11" s="27"/>
      <c r="FVS11" s="28"/>
      <c r="FVT11" s="26"/>
      <c r="FVU11" s="26"/>
      <c r="FVW11" s="25"/>
      <c r="FVX11" s="26"/>
      <c r="FVY11" s="26"/>
      <c r="FVZ11" s="27"/>
      <c r="FWA11" s="28"/>
      <c r="FWB11" s="26"/>
      <c r="FWC11" s="26"/>
      <c r="FWE11" s="25"/>
      <c r="FWF11" s="26"/>
      <c r="FWG11" s="26"/>
      <c r="FWH11" s="27"/>
      <c r="FWI11" s="28"/>
      <c r="FWJ11" s="26"/>
      <c r="FWK11" s="26"/>
      <c r="FWM11" s="25"/>
      <c r="FWN11" s="26"/>
      <c r="FWO11" s="26"/>
      <c r="FWP11" s="27"/>
      <c r="FWQ11" s="28"/>
      <c r="FWR11" s="26"/>
      <c r="FWS11" s="26"/>
      <c r="FWU11" s="25"/>
      <c r="FWV11" s="26"/>
      <c r="FWW11" s="26"/>
      <c r="FWX11" s="27"/>
      <c r="FWY11" s="28"/>
      <c r="FWZ11" s="26"/>
      <c r="FXA11" s="26"/>
      <c r="FXC11" s="25"/>
      <c r="FXD11" s="26"/>
      <c r="FXE11" s="26"/>
      <c r="FXF11" s="27"/>
      <c r="FXG11" s="28"/>
      <c r="FXH11" s="26"/>
      <c r="FXI11" s="26"/>
      <c r="FXK11" s="25"/>
      <c r="FXL11" s="26"/>
      <c r="FXM11" s="26"/>
      <c r="FXN11" s="27"/>
      <c r="FXO11" s="28"/>
      <c r="FXP11" s="26"/>
      <c r="FXQ11" s="26"/>
      <c r="FXS11" s="25"/>
      <c r="FXT11" s="26"/>
      <c r="FXU11" s="26"/>
      <c r="FXV11" s="27"/>
      <c r="FXW11" s="28"/>
      <c r="FXX11" s="26"/>
      <c r="FXY11" s="26"/>
      <c r="FYA11" s="25"/>
      <c r="FYB11" s="26"/>
      <c r="FYC11" s="26"/>
      <c r="FYD11" s="27"/>
      <c r="FYE11" s="28"/>
      <c r="FYF11" s="26"/>
      <c r="FYG11" s="26"/>
      <c r="FYI11" s="25"/>
      <c r="FYJ11" s="26"/>
      <c r="FYK11" s="26"/>
      <c r="FYL11" s="27"/>
      <c r="FYM11" s="28"/>
      <c r="FYN11" s="26"/>
      <c r="FYO11" s="26"/>
      <c r="FYQ11" s="25"/>
      <c r="FYR11" s="26"/>
      <c r="FYS11" s="26"/>
      <c r="FYT11" s="27"/>
      <c r="FYU11" s="28"/>
      <c r="FYV11" s="26"/>
      <c r="FYW11" s="26"/>
      <c r="FYY11" s="25"/>
      <c r="FYZ11" s="26"/>
      <c r="FZA11" s="26"/>
      <c r="FZB11" s="27"/>
      <c r="FZC11" s="28"/>
      <c r="FZD11" s="26"/>
      <c r="FZE11" s="26"/>
      <c r="FZG11" s="25"/>
      <c r="FZH11" s="26"/>
      <c r="FZI11" s="26"/>
      <c r="FZJ11" s="27"/>
      <c r="FZK11" s="28"/>
      <c r="FZL11" s="26"/>
      <c r="FZM11" s="26"/>
      <c r="FZO11" s="25"/>
      <c r="FZP11" s="26"/>
      <c r="FZQ11" s="26"/>
      <c r="FZR11" s="27"/>
      <c r="FZS11" s="28"/>
      <c r="FZT11" s="26"/>
      <c r="FZU11" s="26"/>
      <c r="FZW11" s="25"/>
      <c r="FZX11" s="26"/>
      <c r="FZY11" s="26"/>
      <c r="FZZ11" s="27"/>
      <c r="GAA11" s="28"/>
      <c r="GAB11" s="26"/>
      <c r="GAC11" s="26"/>
      <c r="GAE11" s="25"/>
      <c r="GAF11" s="26"/>
      <c r="GAG11" s="26"/>
      <c r="GAH11" s="27"/>
      <c r="GAI11" s="28"/>
      <c r="GAJ11" s="26"/>
      <c r="GAK11" s="26"/>
      <c r="GAM11" s="25"/>
      <c r="GAN11" s="26"/>
      <c r="GAO11" s="26"/>
      <c r="GAP11" s="27"/>
      <c r="GAQ11" s="28"/>
      <c r="GAR11" s="26"/>
      <c r="GAS11" s="26"/>
      <c r="GAU11" s="25"/>
      <c r="GAV11" s="26"/>
      <c r="GAW11" s="26"/>
      <c r="GAX11" s="27"/>
      <c r="GAY11" s="28"/>
      <c r="GAZ11" s="26"/>
      <c r="GBA11" s="26"/>
      <c r="GBC11" s="25"/>
      <c r="GBD11" s="26"/>
      <c r="GBE11" s="26"/>
      <c r="GBF11" s="27"/>
      <c r="GBG11" s="28"/>
      <c r="GBH11" s="26"/>
      <c r="GBI11" s="26"/>
      <c r="GBK11" s="25"/>
      <c r="GBL11" s="26"/>
      <c r="GBM11" s="26"/>
      <c r="GBN11" s="27"/>
      <c r="GBO11" s="28"/>
      <c r="GBP11" s="26"/>
      <c r="GBQ11" s="26"/>
      <c r="GBS11" s="25"/>
      <c r="GBT11" s="26"/>
      <c r="GBU11" s="26"/>
      <c r="GBV11" s="27"/>
      <c r="GBW11" s="28"/>
      <c r="GBX11" s="26"/>
      <c r="GBY11" s="26"/>
      <c r="GCA11" s="25"/>
      <c r="GCB11" s="26"/>
      <c r="GCC11" s="26"/>
      <c r="GCD11" s="27"/>
      <c r="GCE11" s="28"/>
      <c r="GCF11" s="26"/>
      <c r="GCG11" s="26"/>
      <c r="GCI11" s="25"/>
      <c r="GCJ11" s="26"/>
      <c r="GCK11" s="26"/>
      <c r="GCL11" s="27"/>
      <c r="GCM11" s="28"/>
      <c r="GCN11" s="26"/>
      <c r="GCO11" s="26"/>
      <c r="GCQ11" s="25"/>
      <c r="GCR11" s="26"/>
      <c r="GCS11" s="26"/>
      <c r="GCT11" s="27"/>
      <c r="GCU11" s="28"/>
      <c r="GCV11" s="26"/>
      <c r="GCW11" s="26"/>
      <c r="GCY11" s="25"/>
      <c r="GCZ11" s="26"/>
      <c r="GDA11" s="26"/>
      <c r="GDB11" s="27"/>
      <c r="GDC11" s="28"/>
      <c r="GDD11" s="26"/>
      <c r="GDE11" s="26"/>
      <c r="GDG11" s="25"/>
      <c r="GDH11" s="26"/>
      <c r="GDI11" s="26"/>
      <c r="GDJ11" s="27"/>
      <c r="GDK11" s="28"/>
      <c r="GDL11" s="26"/>
      <c r="GDM11" s="26"/>
      <c r="GDO11" s="25"/>
      <c r="GDP11" s="26"/>
      <c r="GDQ11" s="26"/>
      <c r="GDR11" s="27"/>
      <c r="GDS11" s="28"/>
      <c r="GDT11" s="26"/>
      <c r="GDU11" s="26"/>
      <c r="GDW11" s="25"/>
      <c r="GDX11" s="26"/>
      <c r="GDY11" s="26"/>
      <c r="GDZ11" s="27"/>
      <c r="GEA11" s="28"/>
      <c r="GEB11" s="26"/>
      <c r="GEC11" s="26"/>
      <c r="GEE11" s="25"/>
      <c r="GEF11" s="26"/>
      <c r="GEG11" s="26"/>
      <c r="GEH11" s="27"/>
      <c r="GEI11" s="28"/>
      <c r="GEJ11" s="26"/>
      <c r="GEK11" s="26"/>
      <c r="GEM11" s="25"/>
      <c r="GEN11" s="26"/>
      <c r="GEO11" s="26"/>
      <c r="GEP11" s="27"/>
      <c r="GEQ11" s="28"/>
      <c r="GER11" s="26"/>
      <c r="GES11" s="26"/>
      <c r="GEU11" s="25"/>
      <c r="GEV11" s="26"/>
      <c r="GEW11" s="26"/>
      <c r="GEX11" s="27"/>
      <c r="GEY11" s="28"/>
      <c r="GEZ11" s="26"/>
      <c r="GFA11" s="26"/>
      <c r="GFC11" s="25"/>
      <c r="GFD11" s="26"/>
      <c r="GFE11" s="26"/>
      <c r="GFF11" s="27"/>
      <c r="GFG11" s="28"/>
      <c r="GFH11" s="26"/>
      <c r="GFI11" s="26"/>
      <c r="GFK11" s="25"/>
      <c r="GFL11" s="26"/>
      <c r="GFM11" s="26"/>
      <c r="GFN11" s="27"/>
      <c r="GFO11" s="28"/>
      <c r="GFP11" s="26"/>
      <c r="GFQ11" s="26"/>
      <c r="GFS11" s="25"/>
      <c r="GFT11" s="26"/>
      <c r="GFU11" s="26"/>
      <c r="GFV11" s="27"/>
      <c r="GFW11" s="28"/>
      <c r="GFX11" s="26"/>
      <c r="GFY11" s="26"/>
      <c r="GGA11" s="25"/>
      <c r="GGB11" s="26"/>
      <c r="GGC11" s="26"/>
      <c r="GGD11" s="27"/>
      <c r="GGE11" s="28"/>
      <c r="GGF11" s="26"/>
      <c r="GGG11" s="26"/>
      <c r="GGI11" s="25"/>
      <c r="GGJ11" s="26"/>
      <c r="GGK11" s="26"/>
      <c r="GGL11" s="27"/>
      <c r="GGM11" s="28"/>
      <c r="GGN11" s="26"/>
      <c r="GGO11" s="26"/>
      <c r="GGQ11" s="25"/>
      <c r="GGR11" s="26"/>
      <c r="GGS11" s="26"/>
      <c r="GGT11" s="27"/>
      <c r="GGU11" s="28"/>
      <c r="GGV11" s="26"/>
      <c r="GGW11" s="26"/>
      <c r="GGY11" s="25"/>
      <c r="GGZ11" s="26"/>
      <c r="GHA11" s="26"/>
      <c r="GHB11" s="27"/>
      <c r="GHC11" s="28"/>
      <c r="GHD11" s="26"/>
      <c r="GHE11" s="26"/>
      <c r="GHG11" s="25"/>
      <c r="GHH11" s="26"/>
      <c r="GHI11" s="26"/>
      <c r="GHJ11" s="27"/>
      <c r="GHK11" s="28"/>
      <c r="GHL11" s="26"/>
      <c r="GHM11" s="26"/>
      <c r="GHO11" s="25"/>
      <c r="GHP11" s="26"/>
      <c r="GHQ11" s="26"/>
      <c r="GHR11" s="27"/>
      <c r="GHS11" s="28"/>
      <c r="GHT11" s="26"/>
      <c r="GHU11" s="26"/>
      <c r="GHW11" s="25"/>
      <c r="GHX11" s="26"/>
      <c r="GHY11" s="26"/>
      <c r="GHZ11" s="27"/>
      <c r="GIA11" s="28"/>
      <c r="GIB11" s="26"/>
      <c r="GIC11" s="26"/>
      <c r="GIE11" s="25"/>
      <c r="GIF11" s="26"/>
      <c r="GIG11" s="26"/>
      <c r="GIH11" s="27"/>
      <c r="GII11" s="28"/>
      <c r="GIJ11" s="26"/>
      <c r="GIK11" s="26"/>
      <c r="GIM11" s="25"/>
      <c r="GIN11" s="26"/>
      <c r="GIO11" s="26"/>
      <c r="GIP11" s="27"/>
      <c r="GIQ11" s="28"/>
      <c r="GIR11" s="26"/>
      <c r="GIS11" s="26"/>
      <c r="GIU11" s="25"/>
      <c r="GIV11" s="26"/>
      <c r="GIW11" s="26"/>
      <c r="GIX11" s="27"/>
      <c r="GIY11" s="28"/>
      <c r="GIZ11" s="26"/>
      <c r="GJA11" s="26"/>
      <c r="GJC11" s="25"/>
      <c r="GJD11" s="26"/>
      <c r="GJE11" s="26"/>
      <c r="GJF11" s="27"/>
      <c r="GJG11" s="28"/>
      <c r="GJH11" s="26"/>
      <c r="GJI11" s="26"/>
      <c r="GJK11" s="25"/>
      <c r="GJL11" s="26"/>
      <c r="GJM11" s="26"/>
      <c r="GJN11" s="27"/>
      <c r="GJO11" s="28"/>
      <c r="GJP11" s="26"/>
      <c r="GJQ11" s="26"/>
      <c r="GJS11" s="25"/>
      <c r="GJT11" s="26"/>
      <c r="GJU11" s="26"/>
      <c r="GJV11" s="27"/>
      <c r="GJW11" s="28"/>
      <c r="GJX11" s="26"/>
      <c r="GJY11" s="26"/>
      <c r="GKA11" s="25"/>
      <c r="GKB11" s="26"/>
      <c r="GKC11" s="26"/>
      <c r="GKD11" s="27"/>
      <c r="GKE11" s="28"/>
      <c r="GKF11" s="26"/>
      <c r="GKG11" s="26"/>
      <c r="GKI11" s="25"/>
      <c r="GKJ11" s="26"/>
      <c r="GKK11" s="26"/>
      <c r="GKL11" s="27"/>
      <c r="GKM11" s="28"/>
      <c r="GKN11" s="26"/>
      <c r="GKO11" s="26"/>
      <c r="GKQ11" s="25"/>
      <c r="GKR11" s="26"/>
      <c r="GKS11" s="26"/>
      <c r="GKT11" s="27"/>
      <c r="GKU11" s="28"/>
      <c r="GKV11" s="26"/>
      <c r="GKW11" s="26"/>
      <c r="GKY11" s="25"/>
      <c r="GKZ11" s="26"/>
      <c r="GLA11" s="26"/>
      <c r="GLB11" s="27"/>
      <c r="GLC11" s="28"/>
      <c r="GLD11" s="26"/>
      <c r="GLE11" s="26"/>
      <c r="GLG11" s="25"/>
      <c r="GLH11" s="26"/>
      <c r="GLI11" s="26"/>
      <c r="GLJ11" s="27"/>
      <c r="GLK11" s="28"/>
      <c r="GLL11" s="26"/>
      <c r="GLM11" s="26"/>
      <c r="GLO11" s="25"/>
      <c r="GLP11" s="26"/>
      <c r="GLQ11" s="26"/>
      <c r="GLR11" s="27"/>
      <c r="GLS11" s="28"/>
      <c r="GLT11" s="26"/>
      <c r="GLU11" s="26"/>
      <c r="GLW11" s="25"/>
      <c r="GLX11" s="26"/>
      <c r="GLY11" s="26"/>
      <c r="GLZ11" s="27"/>
      <c r="GMA11" s="28"/>
      <c r="GMB11" s="26"/>
      <c r="GMC11" s="26"/>
      <c r="GME11" s="25"/>
      <c r="GMF11" s="26"/>
      <c r="GMG11" s="26"/>
      <c r="GMH11" s="27"/>
      <c r="GMI11" s="28"/>
      <c r="GMJ11" s="26"/>
      <c r="GMK11" s="26"/>
      <c r="GMM11" s="25"/>
      <c r="GMN11" s="26"/>
      <c r="GMO11" s="26"/>
      <c r="GMP11" s="27"/>
      <c r="GMQ11" s="28"/>
      <c r="GMR11" s="26"/>
      <c r="GMS11" s="26"/>
      <c r="GMU11" s="25"/>
      <c r="GMV11" s="26"/>
      <c r="GMW11" s="26"/>
      <c r="GMX11" s="27"/>
      <c r="GMY11" s="28"/>
      <c r="GMZ11" s="26"/>
      <c r="GNA11" s="26"/>
      <c r="GNC11" s="25"/>
      <c r="GND11" s="26"/>
      <c r="GNE11" s="26"/>
      <c r="GNF11" s="27"/>
      <c r="GNG11" s="28"/>
      <c r="GNH11" s="26"/>
      <c r="GNI11" s="26"/>
      <c r="GNK11" s="25"/>
      <c r="GNL11" s="26"/>
      <c r="GNM11" s="26"/>
      <c r="GNN11" s="27"/>
      <c r="GNO11" s="28"/>
      <c r="GNP11" s="26"/>
      <c r="GNQ11" s="26"/>
      <c r="GNS11" s="25"/>
      <c r="GNT11" s="26"/>
      <c r="GNU11" s="26"/>
      <c r="GNV11" s="27"/>
      <c r="GNW11" s="28"/>
      <c r="GNX11" s="26"/>
      <c r="GNY11" s="26"/>
      <c r="GOA11" s="25"/>
      <c r="GOB11" s="26"/>
      <c r="GOC11" s="26"/>
      <c r="GOD11" s="27"/>
      <c r="GOE11" s="28"/>
      <c r="GOF11" s="26"/>
      <c r="GOG11" s="26"/>
      <c r="GOI11" s="25"/>
      <c r="GOJ11" s="26"/>
      <c r="GOK11" s="26"/>
      <c r="GOL11" s="27"/>
      <c r="GOM11" s="28"/>
      <c r="GON11" s="26"/>
      <c r="GOO11" s="26"/>
      <c r="GOQ11" s="25"/>
      <c r="GOR11" s="26"/>
      <c r="GOS11" s="26"/>
      <c r="GOT11" s="27"/>
      <c r="GOU11" s="28"/>
      <c r="GOV11" s="26"/>
      <c r="GOW11" s="26"/>
      <c r="GOY11" s="25"/>
      <c r="GOZ11" s="26"/>
      <c r="GPA11" s="26"/>
      <c r="GPB11" s="27"/>
      <c r="GPC11" s="28"/>
      <c r="GPD11" s="26"/>
      <c r="GPE11" s="26"/>
      <c r="GPG11" s="25"/>
      <c r="GPH11" s="26"/>
      <c r="GPI11" s="26"/>
      <c r="GPJ11" s="27"/>
      <c r="GPK11" s="28"/>
      <c r="GPL11" s="26"/>
      <c r="GPM11" s="26"/>
      <c r="GPO11" s="25"/>
      <c r="GPP11" s="26"/>
      <c r="GPQ11" s="26"/>
      <c r="GPR11" s="27"/>
      <c r="GPS11" s="28"/>
      <c r="GPT11" s="26"/>
      <c r="GPU11" s="26"/>
      <c r="GPW11" s="25"/>
      <c r="GPX11" s="26"/>
      <c r="GPY11" s="26"/>
      <c r="GPZ11" s="27"/>
      <c r="GQA11" s="28"/>
      <c r="GQB11" s="26"/>
      <c r="GQC11" s="26"/>
      <c r="GQE11" s="25"/>
      <c r="GQF11" s="26"/>
      <c r="GQG11" s="26"/>
      <c r="GQH11" s="27"/>
      <c r="GQI11" s="28"/>
      <c r="GQJ11" s="26"/>
      <c r="GQK11" s="26"/>
      <c r="GQM11" s="25"/>
      <c r="GQN11" s="26"/>
      <c r="GQO11" s="26"/>
      <c r="GQP11" s="27"/>
      <c r="GQQ11" s="28"/>
      <c r="GQR11" s="26"/>
      <c r="GQS11" s="26"/>
      <c r="GQU11" s="25"/>
      <c r="GQV11" s="26"/>
      <c r="GQW11" s="26"/>
      <c r="GQX11" s="27"/>
      <c r="GQY11" s="28"/>
      <c r="GQZ11" s="26"/>
      <c r="GRA11" s="26"/>
      <c r="GRC11" s="25"/>
      <c r="GRD11" s="26"/>
      <c r="GRE11" s="26"/>
      <c r="GRF11" s="27"/>
      <c r="GRG11" s="28"/>
      <c r="GRH11" s="26"/>
      <c r="GRI11" s="26"/>
      <c r="GRK11" s="25"/>
      <c r="GRL11" s="26"/>
      <c r="GRM11" s="26"/>
      <c r="GRN11" s="27"/>
      <c r="GRO11" s="28"/>
      <c r="GRP11" s="26"/>
      <c r="GRQ11" s="26"/>
      <c r="GRS11" s="25"/>
      <c r="GRT11" s="26"/>
      <c r="GRU11" s="26"/>
      <c r="GRV11" s="27"/>
      <c r="GRW11" s="28"/>
      <c r="GRX11" s="26"/>
      <c r="GRY11" s="26"/>
      <c r="GSA11" s="25"/>
      <c r="GSB11" s="26"/>
      <c r="GSC11" s="26"/>
      <c r="GSD11" s="27"/>
      <c r="GSE11" s="28"/>
      <c r="GSF11" s="26"/>
      <c r="GSG11" s="26"/>
      <c r="GSI11" s="25"/>
      <c r="GSJ11" s="26"/>
      <c r="GSK11" s="26"/>
      <c r="GSL11" s="27"/>
      <c r="GSM11" s="28"/>
      <c r="GSN11" s="26"/>
      <c r="GSO11" s="26"/>
      <c r="GSQ11" s="25"/>
      <c r="GSR11" s="26"/>
      <c r="GSS11" s="26"/>
      <c r="GST11" s="27"/>
      <c r="GSU11" s="28"/>
      <c r="GSV11" s="26"/>
      <c r="GSW11" s="26"/>
      <c r="GSY11" s="25"/>
      <c r="GSZ11" s="26"/>
      <c r="GTA11" s="26"/>
      <c r="GTB11" s="27"/>
      <c r="GTC11" s="28"/>
      <c r="GTD11" s="26"/>
      <c r="GTE11" s="26"/>
      <c r="GTG11" s="25"/>
      <c r="GTH11" s="26"/>
      <c r="GTI11" s="26"/>
      <c r="GTJ11" s="27"/>
      <c r="GTK11" s="28"/>
      <c r="GTL11" s="26"/>
      <c r="GTM11" s="26"/>
      <c r="GTO11" s="25"/>
      <c r="GTP11" s="26"/>
      <c r="GTQ11" s="26"/>
      <c r="GTR11" s="27"/>
      <c r="GTS11" s="28"/>
      <c r="GTT11" s="26"/>
      <c r="GTU11" s="26"/>
      <c r="GTW11" s="25"/>
      <c r="GTX11" s="26"/>
      <c r="GTY11" s="26"/>
      <c r="GTZ11" s="27"/>
      <c r="GUA11" s="28"/>
      <c r="GUB11" s="26"/>
      <c r="GUC11" s="26"/>
      <c r="GUE11" s="25"/>
      <c r="GUF11" s="26"/>
      <c r="GUG11" s="26"/>
      <c r="GUH11" s="27"/>
      <c r="GUI11" s="28"/>
      <c r="GUJ11" s="26"/>
      <c r="GUK11" s="26"/>
      <c r="GUM11" s="25"/>
      <c r="GUN11" s="26"/>
      <c r="GUO11" s="26"/>
      <c r="GUP11" s="27"/>
      <c r="GUQ11" s="28"/>
      <c r="GUR11" s="26"/>
      <c r="GUS11" s="26"/>
      <c r="GUU11" s="25"/>
      <c r="GUV11" s="26"/>
      <c r="GUW11" s="26"/>
      <c r="GUX11" s="27"/>
      <c r="GUY11" s="28"/>
      <c r="GUZ11" s="26"/>
      <c r="GVA11" s="26"/>
      <c r="GVC11" s="25"/>
      <c r="GVD11" s="26"/>
      <c r="GVE11" s="26"/>
      <c r="GVF11" s="27"/>
      <c r="GVG11" s="28"/>
      <c r="GVH11" s="26"/>
      <c r="GVI11" s="26"/>
      <c r="GVK11" s="25"/>
      <c r="GVL11" s="26"/>
      <c r="GVM11" s="26"/>
      <c r="GVN11" s="27"/>
      <c r="GVO11" s="28"/>
      <c r="GVP11" s="26"/>
      <c r="GVQ11" s="26"/>
      <c r="GVS11" s="25"/>
      <c r="GVT11" s="26"/>
      <c r="GVU11" s="26"/>
      <c r="GVV11" s="27"/>
      <c r="GVW11" s="28"/>
      <c r="GVX11" s="26"/>
      <c r="GVY11" s="26"/>
      <c r="GWA11" s="25"/>
      <c r="GWB11" s="26"/>
      <c r="GWC11" s="26"/>
      <c r="GWD11" s="27"/>
      <c r="GWE11" s="28"/>
      <c r="GWF11" s="26"/>
      <c r="GWG11" s="26"/>
      <c r="GWI11" s="25"/>
      <c r="GWJ11" s="26"/>
      <c r="GWK11" s="26"/>
      <c r="GWL11" s="27"/>
      <c r="GWM11" s="28"/>
      <c r="GWN11" s="26"/>
      <c r="GWO11" s="26"/>
      <c r="GWQ11" s="25"/>
      <c r="GWR11" s="26"/>
      <c r="GWS11" s="26"/>
      <c r="GWT11" s="27"/>
      <c r="GWU11" s="28"/>
      <c r="GWV11" s="26"/>
      <c r="GWW11" s="26"/>
      <c r="GWY11" s="25"/>
      <c r="GWZ11" s="26"/>
      <c r="GXA11" s="26"/>
      <c r="GXB11" s="27"/>
      <c r="GXC11" s="28"/>
      <c r="GXD11" s="26"/>
      <c r="GXE11" s="26"/>
      <c r="GXG11" s="25"/>
      <c r="GXH11" s="26"/>
      <c r="GXI11" s="26"/>
      <c r="GXJ11" s="27"/>
      <c r="GXK11" s="28"/>
      <c r="GXL11" s="26"/>
      <c r="GXM11" s="26"/>
      <c r="GXO11" s="25"/>
      <c r="GXP11" s="26"/>
      <c r="GXQ11" s="26"/>
      <c r="GXR11" s="27"/>
      <c r="GXS11" s="28"/>
      <c r="GXT11" s="26"/>
      <c r="GXU11" s="26"/>
      <c r="GXW11" s="25"/>
      <c r="GXX11" s="26"/>
      <c r="GXY11" s="26"/>
      <c r="GXZ11" s="27"/>
      <c r="GYA11" s="28"/>
      <c r="GYB11" s="26"/>
      <c r="GYC11" s="26"/>
      <c r="GYE11" s="25"/>
      <c r="GYF11" s="26"/>
      <c r="GYG11" s="26"/>
      <c r="GYH11" s="27"/>
      <c r="GYI11" s="28"/>
      <c r="GYJ11" s="26"/>
      <c r="GYK11" s="26"/>
      <c r="GYM11" s="25"/>
      <c r="GYN11" s="26"/>
      <c r="GYO11" s="26"/>
      <c r="GYP11" s="27"/>
      <c r="GYQ11" s="28"/>
      <c r="GYR11" s="26"/>
      <c r="GYS11" s="26"/>
      <c r="GYU11" s="25"/>
      <c r="GYV11" s="26"/>
      <c r="GYW11" s="26"/>
      <c r="GYX11" s="27"/>
      <c r="GYY11" s="28"/>
      <c r="GYZ11" s="26"/>
      <c r="GZA11" s="26"/>
      <c r="GZC11" s="25"/>
      <c r="GZD11" s="26"/>
      <c r="GZE11" s="26"/>
      <c r="GZF11" s="27"/>
      <c r="GZG11" s="28"/>
      <c r="GZH11" s="26"/>
      <c r="GZI11" s="26"/>
      <c r="GZK11" s="25"/>
      <c r="GZL11" s="26"/>
      <c r="GZM11" s="26"/>
      <c r="GZN11" s="27"/>
      <c r="GZO11" s="28"/>
      <c r="GZP11" s="26"/>
      <c r="GZQ11" s="26"/>
      <c r="GZS11" s="25"/>
      <c r="GZT11" s="26"/>
      <c r="GZU11" s="26"/>
      <c r="GZV11" s="27"/>
      <c r="GZW11" s="28"/>
      <c r="GZX11" s="26"/>
      <c r="GZY11" s="26"/>
      <c r="HAA11" s="25"/>
      <c r="HAB11" s="26"/>
      <c r="HAC11" s="26"/>
      <c r="HAD11" s="27"/>
      <c r="HAE11" s="28"/>
      <c r="HAF11" s="26"/>
      <c r="HAG11" s="26"/>
      <c r="HAI11" s="25"/>
      <c r="HAJ11" s="26"/>
      <c r="HAK11" s="26"/>
      <c r="HAL11" s="27"/>
      <c r="HAM11" s="28"/>
      <c r="HAN11" s="26"/>
      <c r="HAO11" s="26"/>
      <c r="HAQ11" s="25"/>
      <c r="HAR11" s="26"/>
      <c r="HAS11" s="26"/>
      <c r="HAT11" s="27"/>
      <c r="HAU11" s="28"/>
      <c r="HAV11" s="26"/>
      <c r="HAW11" s="26"/>
      <c r="HAY11" s="25"/>
      <c r="HAZ11" s="26"/>
      <c r="HBA11" s="26"/>
      <c r="HBB11" s="27"/>
      <c r="HBC11" s="28"/>
      <c r="HBD11" s="26"/>
      <c r="HBE11" s="26"/>
      <c r="HBG11" s="25"/>
      <c r="HBH11" s="26"/>
      <c r="HBI11" s="26"/>
      <c r="HBJ11" s="27"/>
      <c r="HBK11" s="28"/>
      <c r="HBL11" s="26"/>
      <c r="HBM11" s="26"/>
      <c r="HBO11" s="25"/>
      <c r="HBP11" s="26"/>
      <c r="HBQ11" s="26"/>
      <c r="HBR11" s="27"/>
      <c r="HBS11" s="28"/>
      <c r="HBT11" s="26"/>
      <c r="HBU11" s="26"/>
      <c r="HBW11" s="25"/>
      <c r="HBX11" s="26"/>
      <c r="HBY11" s="26"/>
      <c r="HBZ11" s="27"/>
      <c r="HCA11" s="28"/>
      <c r="HCB11" s="26"/>
      <c r="HCC11" s="26"/>
      <c r="HCE11" s="25"/>
      <c r="HCF11" s="26"/>
      <c r="HCG11" s="26"/>
      <c r="HCH11" s="27"/>
      <c r="HCI11" s="28"/>
      <c r="HCJ11" s="26"/>
      <c r="HCK11" s="26"/>
      <c r="HCM11" s="25"/>
      <c r="HCN11" s="26"/>
      <c r="HCO11" s="26"/>
      <c r="HCP11" s="27"/>
      <c r="HCQ11" s="28"/>
      <c r="HCR11" s="26"/>
      <c r="HCS11" s="26"/>
      <c r="HCU11" s="25"/>
      <c r="HCV11" s="26"/>
      <c r="HCW11" s="26"/>
      <c r="HCX11" s="27"/>
      <c r="HCY11" s="28"/>
      <c r="HCZ11" s="26"/>
      <c r="HDA11" s="26"/>
      <c r="HDC11" s="25"/>
      <c r="HDD11" s="26"/>
      <c r="HDE11" s="26"/>
      <c r="HDF11" s="27"/>
      <c r="HDG11" s="28"/>
      <c r="HDH11" s="26"/>
      <c r="HDI11" s="26"/>
      <c r="HDK11" s="25"/>
      <c r="HDL11" s="26"/>
      <c r="HDM11" s="26"/>
      <c r="HDN11" s="27"/>
      <c r="HDO11" s="28"/>
      <c r="HDP11" s="26"/>
      <c r="HDQ11" s="26"/>
      <c r="HDS11" s="25"/>
      <c r="HDT11" s="26"/>
      <c r="HDU11" s="26"/>
      <c r="HDV11" s="27"/>
      <c r="HDW11" s="28"/>
      <c r="HDX11" s="26"/>
      <c r="HDY11" s="26"/>
      <c r="HEA11" s="25"/>
      <c r="HEB11" s="26"/>
      <c r="HEC11" s="26"/>
      <c r="HED11" s="27"/>
      <c r="HEE11" s="28"/>
      <c r="HEF11" s="26"/>
      <c r="HEG11" s="26"/>
      <c r="HEI11" s="25"/>
      <c r="HEJ11" s="26"/>
      <c r="HEK11" s="26"/>
      <c r="HEL11" s="27"/>
      <c r="HEM11" s="28"/>
      <c r="HEN11" s="26"/>
      <c r="HEO11" s="26"/>
      <c r="HEQ11" s="25"/>
      <c r="HER11" s="26"/>
      <c r="HES11" s="26"/>
      <c r="HET11" s="27"/>
      <c r="HEU11" s="28"/>
      <c r="HEV11" s="26"/>
      <c r="HEW11" s="26"/>
      <c r="HEY11" s="25"/>
      <c r="HEZ11" s="26"/>
      <c r="HFA11" s="26"/>
      <c r="HFB11" s="27"/>
      <c r="HFC11" s="28"/>
      <c r="HFD11" s="26"/>
      <c r="HFE11" s="26"/>
      <c r="HFG11" s="25"/>
      <c r="HFH11" s="26"/>
      <c r="HFI11" s="26"/>
      <c r="HFJ11" s="27"/>
      <c r="HFK11" s="28"/>
      <c r="HFL11" s="26"/>
      <c r="HFM11" s="26"/>
      <c r="HFO11" s="25"/>
      <c r="HFP11" s="26"/>
      <c r="HFQ11" s="26"/>
      <c r="HFR11" s="27"/>
      <c r="HFS11" s="28"/>
      <c r="HFT11" s="26"/>
      <c r="HFU11" s="26"/>
      <c r="HFW11" s="25"/>
      <c r="HFX11" s="26"/>
      <c r="HFY11" s="26"/>
      <c r="HFZ11" s="27"/>
      <c r="HGA11" s="28"/>
      <c r="HGB11" s="26"/>
      <c r="HGC11" s="26"/>
      <c r="HGE11" s="25"/>
      <c r="HGF11" s="26"/>
      <c r="HGG11" s="26"/>
      <c r="HGH11" s="27"/>
      <c r="HGI11" s="28"/>
      <c r="HGJ11" s="26"/>
      <c r="HGK11" s="26"/>
      <c r="HGM11" s="25"/>
      <c r="HGN11" s="26"/>
      <c r="HGO11" s="26"/>
      <c r="HGP11" s="27"/>
      <c r="HGQ11" s="28"/>
      <c r="HGR11" s="26"/>
      <c r="HGS11" s="26"/>
      <c r="HGU11" s="25"/>
      <c r="HGV11" s="26"/>
      <c r="HGW11" s="26"/>
      <c r="HGX11" s="27"/>
      <c r="HGY11" s="28"/>
      <c r="HGZ11" s="26"/>
      <c r="HHA11" s="26"/>
      <c r="HHC11" s="25"/>
      <c r="HHD11" s="26"/>
      <c r="HHE11" s="26"/>
      <c r="HHF11" s="27"/>
      <c r="HHG11" s="28"/>
      <c r="HHH11" s="26"/>
      <c r="HHI11" s="26"/>
      <c r="HHK11" s="25"/>
      <c r="HHL11" s="26"/>
      <c r="HHM11" s="26"/>
      <c r="HHN11" s="27"/>
      <c r="HHO11" s="28"/>
      <c r="HHP11" s="26"/>
      <c r="HHQ11" s="26"/>
      <c r="HHS11" s="25"/>
      <c r="HHT11" s="26"/>
      <c r="HHU11" s="26"/>
      <c r="HHV11" s="27"/>
      <c r="HHW11" s="28"/>
      <c r="HHX11" s="26"/>
      <c r="HHY11" s="26"/>
      <c r="HIA11" s="25"/>
      <c r="HIB11" s="26"/>
      <c r="HIC11" s="26"/>
      <c r="HID11" s="27"/>
      <c r="HIE11" s="28"/>
      <c r="HIF11" s="26"/>
      <c r="HIG11" s="26"/>
      <c r="HII11" s="25"/>
      <c r="HIJ11" s="26"/>
      <c r="HIK11" s="26"/>
      <c r="HIL11" s="27"/>
      <c r="HIM11" s="28"/>
      <c r="HIN11" s="26"/>
      <c r="HIO11" s="26"/>
      <c r="HIQ11" s="25"/>
      <c r="HIR11" s="26"/>
      <c r="HIS11" s="26"/>
      <c r="HIT11" s="27"/>
      <c r="HIU11" s="28"/>
      <c r="HIV11" s="26"/>
      <c r="HIW11" s="26"/>
      <c r="HIY11" s="25"/>
      <c r="HIZ11" s="26"/>
      <c r="HJA11" s="26"/>
      <c r="HJB11" s="27"/>
      <c r="HJC11" s="28"/>
      <c r="HJD11" s="26"/>
      <c r="HJE11" s="26"/>
      <c r="HJG11" s="25"/>
      <c r="HJH11" s="26"/>
      <c r="HJI11" s="26"/>
      <c r="HJJ11" s="27"/>
      <c r="HJK11" s="28"/>
      <c r="HJL11" s="26"/>
      <c r="HJM11" s="26"/>
      <c r="HJO11" s="25"/>
      <c r="HJP11" s="26"/>
      <c r="HJQ11" s="26"/>
      <c r="HJR11" s="27"/>
      <c r="HJS11" s="28"/>
      <c r="HJT11" s="26"/>
      <c r="HJU11" s="26"/>
      <c r="HJW11" s="25"/>
      <c r="HJX11" s="26"/>
      <c r="HJY11" s="26"/>
      <c r="HJZ11" s="27"/>
      <c r="HKA11" s="28"/>
      <c r="HKB11" s="26"/>
      <c r="HKC11" s="26"/>
      <c r="HKE11" s="25"/>
      <c r="HKF11" s="26"/>
      <c r="HKG11" s="26"/>
      <c r="HKH11" s="27"/>
      <c r="HKI11" s="28"/>
      <c r="HKJ11" s="26"/>
      <c r="HKK11" s="26"/>
      <c r="HKM11" s="25"/>
      <c r="HKN11" s="26"/>
      <c r="HKO11" s="26"/>
      <c r="HKP11" s="27"/>
      <c r="HKQ11" s="28"/>
      <c r="HKR11" s="26"/>
      <c r="HKS11" s="26"/>
      <c r="HKU11" s="25"/>
      <c r="HKV11" s="26"/>
      <c r="HKW11" s="26"/>
      <c r="HKX11" s="27"/>
      <c r="HKY11" s="28"/>
      <c r="HKZ11" s="26"/>
      <c r="HLA11" s="26"/>
      <c r="HLC11" s="25"/>
      <c r="HLD11" s="26"/>
      <c r="HLE11" s="26"/>
      <c r="HLF11" s="27"/>
      <c r="HLG11" s="28"/>
      <c r="HLH11" s="26"/>
      <c r="HLI11" s="26"/>
      <c r="HLK11" s="25"/>
      <c r="HLL11" s="26"/>
      <c r="HLM11" s="26"/>
      <c r="HLN11" s="27"/>
      <c r="HLO11" s="28"/>
      <c r="HLP11" s="26"/>
      <c r="HLQ11" s="26"/>
      <c r="HLS11" s="25"/>
      <c r="HLT11" s="26"/>
      <c r="HLU11" s="26"/>
      <c r="HLV11" s="27"/>
      <c r="HLW11" s="28"/>
      <c r="HLX11" s="26"/>
      <c r="HLY11" s="26"/>
      <c r="HMA11" s="25"/>
      <c r="HMB11" s="26"/>
      <c r="HMC11" s="26"/>
      <c r="HMD11" s="27"/>
      <c r="HME11" s="28"/>
      <c r="HMF11" s="26"/>
      <c r="HMG11" s="26"/>
      <c r="HMI11" s="25"/>
      <c r="HMJ11" s="26"/>
      <c r="HMK11" s="26"/>
      <c r="HML11" s="27"/>
      <c r="HMM11" s="28"/>
      <c r="HMN11" s="26"/>
      <c r="HMO11" s="26"/>
      <c r="HMQ11" s="25"/>
      <c r="HMR11" s="26"/>
      <c r="HMS11" s="26"/>
      <c r="HMT11" s="27"/>
      <c r="HMU11" s="28"/>
      <c r="HMV11" s="26"/>
      <c r="HMW11" s="26"/>
      <c r="HMY11" s="25"/>
      <c r="HMZ11" s="26"/>
      <c r="HNA11" s="26"/>
      <c r="HNB11" s="27"/>
      <c r="HNC11" s="28"/>
      <c r="HND11" s="26"/>
      <c r="HNE11" s="26"/>
      <c r="HNG11" s="25"/>
      <c r="HNH11" s="26"/>
      <c r="HNI11" s="26"/>
      <c r="HNJ11" s="27"/>
      <c r="HNK11" s="28"/>
      <c r="HNL11" s="26"/>
      <c r="HNM11" s="26"/>
      <c r="HNO11" s="25"/>
      <c r="HNP11" s="26"/>
      <c r="HNQ11" s="26"/>
      <c r="HNR11" s="27"/>
      <c r="HNS11" s="28"/>
      <c r="HNT11" s="26"/>
      <c r="HNU11" s="26"/>
      <c r="HNW11" s="25"/>
      <c r="HNX11" s="26"/>
      <c r="HNY11" s="26"/>
      <c r="HNZ11" s="27"/>
      <c r="HOA11" s="28"/>
      <c r="HOB11" s="26"/>
      <c r="HOC11" s="26"/>
      <c r="HOE11" s="25"/>
      <c r="HOF11" s="26"/>
      <c r="HOG11" s="26"/>
      <c r="HOH11" s="27"/>
      <c r="HOI11" s="28"/>
      <c r="HOJ11" s="26"/>
      <c r="HOK11" s="26"/>
      <c r="HOM11" s="25"/>
      <c r="HON11" s="26"/>
      <c r="HOO11" s="26"/>
      <c r="HOP11" s="27"/>
      <c r="HOQ11" s="28"/>
      <c r="HOR11" s="26"/>
      <c r="HOS11" s="26"/>
      <c r="HOU11" s="25"/>
      <c r="HOV11" s="26"/>
      <c r="HOW11" s="26"/>
      <c r="HOX11" s="27"/>
      <c r="HOY11" s="28"/>
      <c r="HOZ11" s="26"/>
      <c r="HPA11" s="26"/>
      <c r="HPC11" s="25"/>
      <c r="HPD11" s="26"/>
      <c r="HPE11" s="26"/>
      <c r="HPF11" s="27"/>
      <c r="HPG11" s="28"/>
      <c r="HPH11" s="26"/>
      <c r="HPI11" s="26"/>
      <c r="HPK11" s="25"/>
      <c r="HPL11" s="26"/>
      <c r="HPM11" s="26"/>
      <c r="HPN11" s="27"/>
      <c r="HPO11" s="28"/>
      <c r="HPP11" s="26"/>
      <c r="HPQ11" s="26"/>
      <c r="HPS11" s="25"/>
      <c r="HPT11" s="26"/>
      <c r="HPU11" s="26"/>
      <c r="HPV11" s="27"/>
      <c r="HPW11" s="28"/>
      <c r="HPX11" s="26"/>
      <c r="HPY11" s="26"/>
      <c r="HQA11" s="25"/>
      <c r="HQB11" s="26"/>
      <c r="HQC11" s="26"/>
      <c r="HQD11" s="27"/>
      <c r="HQE11" s="28"/>
      <c r="HQF11" s="26"/>
      <c r="HQG11" s="26"/>
      <c r="HQI11" s="25"/>
      <c r="HQJ11" s="26"/>
      <c r="HQK11" s="26"/>
      <c r="HQL11" s="27"/>
      <c r="HQM11" s="28"/>
      <c r="HQN11" s="26"/>
      <c r="HQO11" s="26"/>
      <c r="HQQ11" s="25"/>
      <c r="HQR11" s="26"/>
      <c r="HQS11" s="26"/>
      <c r="HQT11" s="27"/>
      <c r="HQU11" s="28"/>
      <c r="HQV11" s="26"/>
      <c r="HQW11" s="26"/>
      <c r="HQY11" s="25"/>
      <c r="HQZ11" s="26"/>
      <c r="HRA11" s="26"/>
      <c r="HRB11" s="27"/>
      <c r="HRC11" s="28"/>
      <c r="HRD11" s="26"/>
      <c r="HRE11" s="26"/>
      <c r="HRG11" s="25"/>
      <c r="HRH11" s="26"/>
      <c r="HRI11" s="26"/>
      <c r="HRJ11" s="27"/>
      <c r="HRK11" s="28"/>
      <c r="HRL11" s="26"/>
      <c r="HRM11" s="26"/>
      <c r="HRO11" s="25"/>
      <c r="HRP11" s="26"/>
      <c r="HRQ11" s="26"/>
      <c r="HRR11" s="27"/>
      <c r="HRS11" s="28"/>
      <c r="HRT11" s="26"/>
      <c r="HRU11" s="26"/>
      <c r="HRW11" s="25"/>
      <c r="HRX11" s="26"/>
      <c r="HRY11" s="26"/>
      <c r="HRZ11" s="27"/>
      <c r="HSA11" s="28"/>
      <c r="HSB11" s="26"/>
      <c r="HSC11" s="26"/>
      <c r="HSE11" s="25"/>
      <c r="HSF11" s="26"/>
      <c r="HSG11" s="26"/>
      <c r="HSH11" s="27"/>
      <c r="HSI11" s="28"/>
      <c r="HSJ11" s="26"/>
      <c r="HSK11" s="26"/>
      <c r="HSM11" s="25"/>
      <c r="HSN11" s="26"/>
      <c r="HSO11" s="26"/>
      <c r="HSP11" s="27"/>
      <c r="HSQ11" s="28"/>
      <c r="HSR11" s="26"/>
      <c r="HSS11" s="26"/>
      <c r="HSU11" s="25"/>
      <c r="HSV11" s="26"/>
      <c r="HSW11" s="26"/>
      <c r="HSX11" s="27"/>
      <c r="HSY11" s="28"/>
      <c r="HSZ11" s="26"/>
      <c r="HTA11" s="26"/>
      <c r="HTC11" s="25"/>
      <c r="HTD11" s="26"/>
      <c r="HTE11" s="26"/>
      <c r="HTF11" s="27"/>
      <c r="HTG11" s="28"/>
      <c r="HTH11" s="26"/>
      <c r="HTI11" s="26"/>
      <c r="HTK11" s="25"/>
      <c r="HTL11" s="26"/>
      <c r="HTM11" s="26"/>
      <c r="HTN11" s="27"/>
      <c r="HTO11" s="28"/>
      <c r="HTP11" s="26"/>
      <c r="HTQ11" s="26"/>
      <c r="HTS11" s="25"/>
      <c r="HTT11" s="26"/>
      <c r="HTU11" s="26"/>
      <c r="HTV11" s="27"/>
      <c r="HTW11" s="28"/>
      <c r="HTX11" s="26"/>
      <c r="HTY11" s="26"/>
      <c r="HUA11" s="25"/>
      <c r="HUB11" s="26"/>
      <c r="HUC11" s="26"/>
      <c r="HUD11" s="27"/>
      <c r="HUE11" s="28"/>
      <c r="HUF11" s="26"/>
      <c r="HUG11" s="26"/>
      <c r="HUI11" s="25"/>
      <c r="HUJ11" s="26"/>
      <c r="HUK11" s="26"/>
      <c r="HUL11" s="27"/>
      <c r="HUM11" s="28"/>
      <c r="HUN11" s="26"/>
      <c r="HUO11" s="26"/>
      <c r="HUQ11" s="25"/>
      <c r="HUR11" s="26"/>
      <c r="HUS11" s="26"/>
      <c r="HUT11" s="27"/>
      <c r="HUU11" s="28"/>
      <c r="HUV11" s="26"/>
      <c r="HUW11" s="26"/>
      <c r="HUY11" s="25"/>
      <c r="HUZ11" s="26"/>
      <c r="HVA11" s="26"/>
      <c r="HVB11" s="27"/>
      <c r="HVC11" s="28"/>
      <c r="HVD11" s="26"/>
      <c r="HVE11" s="26"/>
      <c r="HVG11" s="25"/>
      <c r="HVH11" s="26"/>
      <c r="HVI11" s="26"/>
      <c r="HVJ11" s="27"/>
      <c r="HVK11" s="28"/>
      <c r="HVL11" s="26"/>
      <c r="HVM11" s="26"/>
      <c r="HVO11" s="25"/>
      <c r="HVP11" s="26"/>
      <c r="HVQ11" s="26"/>
      <c r="HVR11" s="27"/>
      <c r="HVS11" s="28"/>
      <c r="HVT11" s="26"/>
      <c r="HVU11" s="26"/>
      <c r="HVW11" s="25"/>
      <c r="HVX11" s="26"/>
      <c r="HVY11" s="26"/>
      <c r="HVZ11" s="27"/>
      <c r="HWA11" s="28"/>
      <c r="HWB11" s="26"/>
      <c r="HWC11" s="26"/>
      <c r="HWE11" s="25"/>
      <c r="HWF11" s="26"/>
      <c r="HWG11" s="26"/>
      <c r="HWH11" s="27"/>
      <c r="HWI11" s="28"/>
      <c r="HWJ11" s="26"/>
      <c r="HWK11" s="26"/>
      <c r="HWM11" s="25"/>
      <c r="HWN11" s="26"/>
      <c r="HWO11" s="26"/>
      <c r="HWP11" s="27"/>
      <c r="HWQ11" s="28"/>
      <c r="HWR11" s="26"/>
      <c r="HWS11" s="26"/>
      <c r="HWU11" s="25"/>
      <c r="HWV11" s="26"/>
      <c r="HWW11" s="26"/>
      <c r="HWX11" s="27"/>
      <c r="HWY11" s="28"/>
      <c r="HWZ11" s="26"/>
      <c r="HXA11" s="26"/>
      <c r="HXC11" s="25"/>
      <c r="HXD11" s="26"/>
      <c r="HXE11" s="26"/>
      <c r="HXF11" s="27"/>
      <c r="HXG11" s="28"/>
      <c r="HXH11" s="26"/>
      <c r="HXI11" s="26"/>
      <c r="HXK11" s="25"/>
      <c r="HXL11" s="26"/>
      <c r="HXM11" s="26"/>
      <c r="HXN11" s="27"/>
      <c r="HXO11" s="28"/>
      <c r="HXP11" s="26"/>
      <c r="HXQ11" s="26"/>
      <c r="HXS11" s="25"/>
      <c r="HXT11" s="26"/>
      <c r="HXU11" s="26"/>
      <c r="HXV11" s="27"/>
      <c r="HXW11" s="28"/>
      <c r="HXX11" s="26"/>
      <c r="HXY11" s="26"/>
      <c r="HYA11" s="25"/>
      <c r="HYB11" s="26"/>
      <c r="HYC11" s="26"/>
      <c r="HYD11" s="27"/>
      <c r="HYE11" s="28"/>
      <c r="HYF11" s="26"/>
      <c r="HYG11" s="26"/>
      <c r="HYI11" s="25"/>
      <c r="HYJ11" s="26"/>
      <c r="HYK11" s="26"/>
      <c r="HYL11" s="27"/>
      <c r="HYM11" s="28"/>
      <c r="HYN11" s="26"/>
      <c r="HYO11" s="26"/>
      <c r="HYQ11" s="25"/>
      <c r="HYR11" s="26"/>
      <c r="HYS11" s="26"/>
      <c r="HYT11" s="27"/>
      <c r="HYU11" s="28"/>
      <c r="HYV11" s="26"/>
      <c r="HYW11" s="26"/>
      <c r="HYY11" s="25"/>
      <c r="HYZ11" s="26"/>
      <c r="HZA11" s="26"/>
      <c r="HZB11" s="27"/>
      <c r="HZC11" s="28"/>
      <c r="HZD11" s="26"/>
      <c r="HZE11" s="26"/>
      <c r="HZG11" s="25"/>
      <c r="HZH11" s="26"/>
      <c r="HZI11" s="26"/>
      <c r="HZJ11" s="27"/>
      <c r="HZK11" s="28"/>
      <c r="HZL11" s="26"/>
      <c r="HZM11" s="26"/>
      <c r="HZO11" s="25"/>
      <c r="HZP11" s="26"/>
      <c r="HZQ11" s="26"/>
      <c r="HZR11" s="27"/>
      <c r="HZS11" s="28"/>
      <c r="HZT11" s="26"/>
      <c r="HZU11" s="26"/>
      <c r="HZW11" s="25"/>
      <c r="HZX11" s="26"/>
      <c r="HZY11" s="26"/>
      <c r="HZZ11" s="27"/>
      <c r="IAA11" s="28"/>
      <c r="IAB11" s="26"/>
      <c r="IAC11" s="26"/>
      <c r="IAE11" s="25"/>
      <c r="IAF11" s="26"/>
      <c r="IAG11" s="26"/>
      <c r="IAH11" s="27"/>
      <c r="IAI11" s="28"/>
      <c r="IAJ11" s="26"/>
      <c r="IAK11" s="26"/>
      <c r="IAM11" s="25"/>
      <c r="IAN11" s="26"/>
      <c r="IAO11" s="26"/>
      <c r="IAP11" s="27"/>
      <c r="IAQ11" s="28"/>
      <c r="IAR11" s="26"/>
      <c r="IAS11" s="26"/>
      <c r="IAU11" s="25"/>
      <c r="IAV11" s="26"/>
      <c r="IAW11" s="26"/>
      <c r="IAX11" s="27"/>
      <c r="IAY11" s="28"/>
      <c r="IAZ11" s="26"/>
      <c r="IBA11" s="26"/>
      <c r="IBC11" s="25"/>
      <c r="IBD11" s="26"/>
      <c r="IBE11" s="26"/>
      <c r="IBF11" s="27"/>
      <c r="IBG11" s="28"/>
      <c r="IBH11" s="26"/>
      <c r="IBI11" s="26"/>
      <c r="IBK11" s="25"/>
      <c r="IBL11" s="26"/>
      <c r="IBM11" s="26"/>
      <c r="IBN11" s="27"/>
      <c r="IBO11" s="28"/>
      <c r="IBP11" s="26"/>
      <c r="IBQ11" s="26"/>
      <c r="IBS11" s="25"/>
      <c r="IBT11" s="26"/>
      <c r="IBU11" s="26"/>
      <c r="IBV11" s="27"/>
      <c r="IBW11" s="28"/>
      <c r="IBX11" s="26"/>
      <c r="IBY11" s="26"/>
      <c r="ICA11" s="25"/>
      <c r="ICB11" s="26"/>
      <c r="ICC11" s="26"/>
      <c r="ICD11" s="27"/>
      <c r="ICE11" s="28"/>
      <c r="ICF11" s="26"/>
      <c r="ICG11" s="26"/>
      <c r="ICI11" s="25"/>
      <c r="ICJ11" s="26"/>
      <c r="ICK11" s="26"/>
      <c r="ICL11" s="27"/>
      <c r="ICM11" s="28"/>
      <c r="ICN11" s="26"/>
      <c r="ICO11" s="26"/>
      <c r="ICQ11" s="25"/>
      <c r="ICR11" s="26"/>
      <c r="ICS11" s="26"/>
      <c r="ICT11" s="27"/>
      <c r="ICU11" s="28"/>
      <c r="ICV11" s="26"/>
      <c r="ICW11" s="26"/>
      <c r="ICY11" s="25"/>
      <c r="ICZ11" s="26"/>
      <c r="IDA11" s="26"/>
      <c r="IDB11" s="27"/>
      <c r="IDC11" s="28"/>
      <c r="IDD11" s="26"/>
      <c r="IDE11" s="26"/>
      <c r="IDG11" s="25"/>
      <c r="IDH11" s="26"/>
      <c r="IDI11" s="26"/>
      <c r="IDJ11" s="27"/>
      <c r="IDK11" s="28"/>
      <c r="IDL11" s="26"/>
      <c r="IDM11" s="26"/>
      <c r="IDO11" s="25"/>
      <c r="IDP11" s="26"/>
      <c r="IDQ11" s="26"/>
      <c r="IDR11" s="27"/>
      <c r="IDS11" s="28"/>
      <c r="IDT11" s="26"/>
      <c r="IDU11" s="26"/>
      <c r="IDW11" s="25"/>
      <c r="IDX11" s="26"/>
      <c r="IDY11" s="26"/>
      <c r="IDZ11" s="27"/>
      <c r="IEA11" s="28"/>
      <c r="IEB11" s="26"/>
      <c r="IEC11" s="26"/>
      <c r="IEE11" s="25"/>
      <c r="IEF11" s="26"/>
      <c r="IEG11" s="26"/>
      <c r="IEH11" s="27"/>
      <c r="IEI11" s="28"/>
      <c r="IEJ11" s="26"/>
      <c r="IEK11" s="26"/>
      <c r="IEM11" s="25"/>
      <c r="IEN11" s="26"/>
      <c r="IEO11" s="26"/>
      <c r="IEP11" s="27"/>
      <c r="IEQ11" s="28"/>
      <c r="IER11" s="26"/>
      <c r="IES11" s="26"/>
      <c r="IEU11" s="25"/>
      <c r="IEV11" s="26"/>
      <c r="IEW11" s="26"/>
      <c r="IEX11" s="27"/>
      <c r="IEY11" s="28"/>
      <c r="IEZ11" s="26"/>
      <c r="IFA11" s="26"/>
      <c r="IFC11" s="25"/>
      <c r="IFD11" s="26"/>
      <c r="IFE11" s="26"/>
      <c r="IFF11" s="27"/>
      <c r="IFG11" s="28"/>
      <c r="IFH11" s="26"/>
      <c r="IFI11" s="26"/>
      <c r="IFK11" s="25"/>
      <c r="IFL11" s="26"/>
      <c r="IFM11" s="26"/>
      <c r="IFN11" s="27"/>
      <c r="IFO11" s="28"/>
      <c r="IFP11" s="26"/>
      <c r="IFQ11" s="26"/>
      <c r="IFS11" s="25"/>
      <c r="IFT11" s="26"/>
      <c r="IFU11" s="26"/>
      <c r="IFV11" s="27"/>
      <c r="IFW11" s="28"/>
      <c r="IFX11" s="26"/>
      <c r="IFY11" s="26"/>
      <c r="IGA11" s="25"/>
      <c r="IGB11" s="26"/>
      <c r="IGC11" s="26"/>
      <c r="IGD11" s="27"/>
      <c r="IGE11" s="28"/>
      <c r="IGF11" s="26"/>
      <c r="IGG11" s="26"/>
      <c r="IGI11" s="25"/>
      <c r="IGJ11" s="26"/>
      <c r="IGK11" s="26"/>
      <c r="IGL11" s="27"/>
      <c r="IGM11" s="28"/>
      <c r="IGN11" s="26"/>
      <c r="IGO11" s="26"/>
      <c r="IGQ11" s="25"/>
      <c r="IGR11" s="26"/>
      <c r="IGS11" s="26"/>
      <c r="IGT11" s="27"/>
      <c r="IGU11" s="28"/>
      <c r="IGV11" s="26"/>
      <c r="IGW11" s="26"/>
      <c r="IGY11" s="25"/>
      <c r="IGZ11" s="26"/>
      <c r="IHA11" s="26"/>
      <c r="IHB11" s="27"/>
      <c r="IHC11" s="28"/>
      <c r="IHD11" s="26"/>
      <c r="IHE11" s="26"/>
      <c r="IHG11" s="25"/>
      <c r="IHH11" s="26"/>
      <c r="IHI11" s="26"/>
      <c r="IHJ11" s="27"/>
      <c r="IHK11" s="28"/>
      <c r="IHL11" s="26"/>
      <c r="IHM11" s="26"/>
      <c r="IHO11" s="25"/>
      <c r="IHP11" s="26"/>
      <c r="IHQ11" s="26"/>
      <c r="IHR11" s="27"/>
      <c r="IHS11" s="28"/>
      <c r="IHT11" s="26"/>
      <c r="IHU11" s="26"/>
      <c r="IHW11" s="25"/>
      <c r="IHX11" s="26"/>
      <c r="IHY11" s="26"/>
      <c r="IHZ11" s="27"/>
      <c r="IIA11" s="28"/>
      <c r="IIB11" s="26"/>
      <c r="IIC11" s="26"/>
      <c r="IIE11" s="25"/>
      <c r="IIF11" s="26"/>
      <c r="IIG11" s="26"/>
      <c r="IIH11" s="27"/>
      <c r="III11" s="28"/>
      <c r="IIJ11" s="26"/>
      <c r="IIK11" s="26"/>
      <c r="IIM11" s="25"/>
      <c r="IIN11" s="26"/>
      <c r="IIO11" s="26"/>
      <c r="IIP11" s="27"/>
      <c r="IIQ11" s="28"/>
      <c r="IIR11" s="26"/>
      <c r="IIS11" s="26"/>
      <c r="IIU11" s="25"/>
      <c r="IIV11" s="26"/>
      <c r="IIW11" s="26"/>
      <c r="IIX11" s="27"/>
      <c r="IIY11" s="28"/>
      <c r="IIZ11" s="26"/>
      <c r="IJA11" s="26"/>
      <c r="IJC11" s="25"/>
      <c r="IJD11" s="26"/>
      <c r="IJE11" s="26"/>
      <c r="IJF11" s="27"/>
      <c r="IJG11" s="28"/>
      <c r="IJH11" s="26"/>
      <c r="IJI11" s="26"/>
      <c r="IJK11" s="25"/>
      <c r="IJL11" s="26"/>
      <c r="IJM11" s="26"/>
      <c r="IJN11" s="27"/>
      <c r="IJO11" s="28"/>
      <c r="IJP11" s="26"/>
      <c r="IJQ11" s="26"/>
      <c r="IJS11" s="25"/>
      <c r="IJT11" s="26"/>
      <c r="IJU11" s="26"/>
      <c r="IJV11" s="27"/>
      <c r="IJW11" s="28"/>
      <c r="IJX11" s="26"/>
      <c r="IJY11" s="26"/>
      <c r="IKA11" s="25"/>
      <c r="IKB11" s="26"/>
      <c r="IKC11" s="26"/>
      <c r="IKD11" s="27"/>
      <c r="IKE11" s="28"/>
      <c r="IKF11" s="26"/>
      <c r="IKG11" s="26"/>
      <c r="IKI11" s="25"/>
      <c r="IKJ11" s="26"/>
      <c r="IKK11" s="26"/>
      <c r="IKL11" s="27"/>
      <c r="IKM11" s="28"/>
      <c r="IKN11" s="26"/>
      <c r="IKO11" s="26"/>
      <c r="IKQ11" s="25"/>
      <c r="IKR11" s="26"/>
      <c r="IKS11" s="26"/>
      <c r="IKT11" s="27"/>
      <c r="IKU11" s="28"/>
      <c r="IKV11" s="26"/>
      <c r="IKW11" s="26"/>
      <c r="IKY11" s="25"/>
      <c r="IKZ11" s="26"/>
      <c r="ILA11" s="26"/>
      <c r="ILB11" s="27"/>
      <c r="ILC11" s="28"/>
      <c r="ILD11" s="26"/>
      <c r="ILE11" s="26"/>
      <c r="ILG11" s="25"/>
      <c r="ILH11" s="26"/>
      <c r="ILI11" s="26"/>
      <c r="ILJ11" s="27"/>
      <c r="ILK11" s="28"/>
      <c r="ILL11" s="26"/>
      <c r="ILM11" s="26"/>
      <c r="ILO11" s="25"/>
      <c r="ILP11" s="26"/>
      <c r="ILQ11" s="26"/>
      <c r="ILR11" s="27"/>
      <c r="ILS11" s="28"/>
      <c r="ILT11" s="26"/>
      <c r="ILU11" s="26"/>
      <c r="ILW11" s="25"/>
      <c r="ILX11" s="26"/>
      <c r="ILY11" s="26"/>
      <c r="ILZ11" s="27"/>
      <c r="IMA11" s="28"/>
      <c r="IMB11" s="26"/>
      <c r="IMC11" s="26"/>
      <c r="IME11" s="25"/>
      <c r="IMF11" s="26"/>
      <c r="IMG11" s="26"/>
      <c r="IMH11" s="27"/>
      <c r="IMI11" s="28"/>
      <c r="IMJ11" s="26"/>
      <c r="IMK11" s="26"/>
      <c r="IMM11" s="25"/>
      <c r="IMN11" s="26"/>
      <c r="IMO11" s="26"/>
      <c r="IMP11" s="27"/>
      <c r="IMQ11" s="28"/>
      <c r="IMR11" s="26"/>
      <c r="IMS11" s="26"/>
      <c r="IMU11" s="25"/>
      <c r="IMV11" s="26"/>
      <c r="IMW11" s="26"/>
      <c r="IMX11" s="27"/>
      <c r="IMY11" s="28"/>
      <c r="IMZ11" s="26"/>
      <c r="INA11" s="26"/>
      <c r="INC11" s="25"/>
      <c r="IND11" s="26"/>
      <c r="INE11" s="26"/>
      <c r="INF11" s="27"/>
      <c r="ING11" s="28"/>
      <c r="INH11" s="26"/>
      <c r="INI11" s="26"/>
      <c r="INK11" s="25"/>
      <c r="INL11" s="26"/>
      <c r="INM11" s="26"/>
      <c r="INN11" s="27"/>
      <c r="INO11" s="28"/>
      <c r="INP11" s="26"/>
      <c r="INQ11" s="26"/>
      <c r="INS11" s="25"/>
      <c r="INT11" s="26"/>
      <c r="INU11" s="26"/>
      <c r="INV11" s="27"/>
      <c r="INW11" s="28"/>
      <c r="INX11" s="26"/>
      <c r="INY11" s="26"/>
      <c r="IOA11" s="25"/>
      <c r="IOB11" s="26"/>
      <c r="IOC11" s="26"/>
      <c r="IOD11" s="27"/>
      <c r="IOE11" s="28"/>
      <c r="IOF11" s="26"/>
      <c r="IOG11" s="26"/>
      <c r="IOI11" s="25"/>
      <c r="IOJ11" s="26"/>
      <c r="IOK11" s="26"/>
      <c r="IOL11" s="27"/>
      <c r="IOM11" s="28"/>
      <c r="ION11" s="26"/>
      <c r="IOO11" s="26"/>
      <c r="IOQ11" s="25"/>
      <c r="IOR11" s="26"/>
      <c r="IOS11" s="26"/>
      <c r="IOT11" s="27"/>
      <c r="IOU11" s="28"/>
      <c r="IOV11" s="26"/>
      <c r="IOW11" s="26"/>
      <c r="IOY11" s="25"/>
      <c r="IOZ11" s="26"/>
      <c r="IPA11" s="26"/>
      <c r="IPB11" s="27"/>
      <c r="IPC11" s="28"/>
      <c r="IPD11" s="26"/>
      <c r="IPE11" s="26"/>
      <c r="IPG11" s="25"/>
      <c r="IPH11" s="26"/>
      <c r="IPI11" s="26"/>
      <c r="IPJ11" s="27"/>
      <c r="IPK11" s="28"/>
      <c r="IPL11" s="26"/>
      <c r="IPM11" s="26"/>
      <c r="IPO11" s="25"/>
      <c r="IPP11" s="26"/>
      <c r="IPQ11" s="26"/>
      <c r="IPR11" s="27"/>
      <c r="IPS11" s="28"/>
      <c r="IPT11" s="26"/>
      <c r="IPU11" s="26"/>
      <c r="IPW11" s="25"/>
      <c r="IPX11" s="26"/>
      <c r="IPY11" s="26"/>
      <c r="IPZ11" s="27"/>
      <c r="IQA11" s="28"/>
      <c r="IQB11" s="26"/>
      <c r="IQC11" s="26"/>
      <c r="IQE11" s="25"/>
      <c r="IQF11" s="26"/>
      <c r="IQG11" s="26"/>
      <c r="IQH11" s="27"/>
      <c r="IQI11" s="28"/>
      <c r="IQJ11" s="26"/>
      <c r="IQK11" s="26"/>
      <c r="IQM11" s="25"/>
      <c r="IQN11" s="26"/>
      <c r="IQO11" s="26"/>
      <c r="IQP11" s="27"/>
      <c r="IQQ11" s="28"/>
      <c r="IQR11" s="26"/>
      <c r="IQS11" s="26"/>
      <c r="IQU11" s="25"/>
      <c r="IQV11" s="26"/>
      <c r="IQW11" s="26"/>
      <c r="IQX11" s="27"/>
      <c r="IQY11" s="28"/>
      <c r="IQZ11" s="26"/>
      <c r="IRA11" s="26"/>
      <c r="IRC11" s="25"/>
      <c r="IRD11" s="26"/>
      <c r="IRE11" s="26"/>
      <c r="IRF11" s="27"/>
      <c r="IRG11" s="28"/>
      <c r="IRH11" s="26"/>
      <c r="IRI11" s="26"/>
      <c r="IRK11" s="25"/>
      <c r="IRL11" s="26"/>
      <c r="IRM11" s="26"/>
      <c r="IRN11" s="27"/>
      <c r="IRO11" s="28"/>
      <c r="IRP11" s="26"/>
      <c r="IRQ11" s="26"/>
      <c r="IRS11" s="25"/>
      <c r="IRT11" s="26"/>
      <c r="IRU11" s="26"/>
      <c r="IRV11" s="27"/>
      <c r="IRW11" s="28"/>
      <c r="IRX11" s="26"/>
      <c r="IRY11" s="26"/>
      <c r="ISA11" s="25"/>
      <c r="ISB11" s="26"/>
      <c r="ISC11" s="26"/>
      <c r="ISD11" s="27"/>
      <c r="ISE11" s="28"/>
      <c r="ISF11" s="26"/>
      <c r="ISG11" s="26"/>
      <c r="ISI11" s="25"/>
      <c r="ISJ11" s="26"/>
      <c r="ISK11" s="26"/>
      <c r="ISL11" s="27"/>
      <c r="ISM11" s="28"/>
      <c r="ISN11" s="26"/>
      <c r="ISO11" s="26"/>
      <c r="ISQ11" s="25"/>
      <c r="ISR11" s="26"/>
      <c r="ISS11" s="26"/>
      <c r="IST11" s="27"/>
      <c r="ISU11" s="28"/>
      <c r="ISV11" s="26"/>
      <c r="ISW11" s="26"/>
      <c r="ISY11" s="25"/>
      <c r="ISZ11" s="26"/>
      <c r="ITA11" s="26"/>
      <c r="ITB11" s="27"/>
      <c r="ITC11" s="28"/>
      <c r="ITD11" s="26"/>
      <c r="ITE11" s="26"/>
      <c r="ITG11" s="25"/>
      <c r="ITH11" s="26"/>
      <c r="ITI11" s="26"/>
      <c r="ITJ11" s="27"/>
      <c r="ITK11" s="28"/>
      <c r="ITL11" s="26"/>
      <c r="ITM11" s="26"/>
      <c r="ITO11" s="25"/>
      <c r="ITP11" s="26"/>
      <c r="ITQ11" s="26"/>
      <c r="ITR11" s="27"/>
      <c r="ITS11" s="28"/>
      <c r="ITT11" s="26"/>
      <c r="ITU11" s="26"/>
      <c r="ITW11" s="25"/>
      <c r="ITX11" s="26"/>
      <c r="ITY11" s="26"/>
      <c r="ITZ11" s="27"/>
      <c r="IUA11" s="28"/>
      <c r="IUB11" s="26"/>
      <c r="IUC11" s="26"/>
      <c r="IUE11" s="25"/>
      <c r="IUF11" s="26"/>
      <c r="IUG11" s="26"/>
      <c r="IUH11" s="27"/>
      <c r="IUI11" s="28"/>
      <c r="IUJ11" s="26"/>
      <c r="IUK11" s="26"/>
      <c r="IUM11" s="25"/>
      <c r="IUN11" s="26"/>
      <c r="IUO11" s="26"/>
      <c r="IUP11" s="27"/>
      <c r="IUQ11" s="28"/>
      <c r="IUR11" s="26"/>
      <c r="IUS11" s="26"/>
      <c r="IUU11" s="25"/>
      <c r="IUV11" s="26"/>
      <c r="IUW11" s="26"/>
      <c r="IUX11" s="27"/>
      <c r="IUY11" s="28"/>
      <c r="IUZ11" s="26"/>
      <c r="IVA11" s="26"/>
      <c r="IVC11" s="25"/>
      <c r="IVD11" s="26"/>
      <c r="IVE11" s="26"/>
      <c r="IVF11" s="27"/>
      <c r="IVG11" s="28"/>
      <c r="IVH11" s="26"/>
      <c r="IVI11" s="26"/>
      <c r="IVK11" s="25"/>
      <c r="IVL11" s="26"/>
      <c r="IVM11" s="26"/>
      <c r="IVN11" s="27"/>
      <c r="IVO11" s="28"/>
      <c r="IVP11" s="26"/>
      <c r="IVQ11" s="26"/>
      <c r="IVS11" s="25"/>
      <c r="IVT11" s="26"/>
      <c r="IVU11" s="26"/>
      <c r="IVV11" s="27"/>
      <c r="IVW11" s="28"/>
      <c r="IVX11" s="26"/>
      <c r="IVY11" s="26"/>
      <c r="IWA11" s="25"/>
      <c r="IWB11" s="26"/>
      <c r="IWC11" s="26"/>
      <c r="IWD11" s="27"/>
      <c r="IWE11" s="28"/>
      <c r="IWF11" s="26"/>
      <c r="IWG11" s="26"/>
      <c r="IWI11" s="25"/>
      <c r="IWJ11" s="26"/>
      <c r="IWK11" s="26"/>
      <c r="IWL11" s="27"/>
      <c r="IWM11" s="28"/>
      <c r="IWN11" s="26"/>
      <c r="IWO11" s="26"/>
      <c r="IWQ11" s="25"/>
      <c r="IWR11" s="26"/>
      <c r="IWS11" s="26"/>
      <c r="IWT11" s="27"/>
      <c r="IWU11" s="28"/>
      <c r="IWV11" s="26"/>
      <c r="IWW11" s="26"/>
      <c r="IWY11" s="25"/>
      <c r="IWZ11" s="26"/>
      <c r="IXA11" s="26"/>
      <c r="IXB11" s="27"/>
      <c r="IXC11" s="28"/>
      <c r="IXD11" s="26"/>
      <c r="IXE11" s="26"/>
      <c r="IXG11" s="25"/>
      <c r="IXH11" s="26"/>
      <c r="IXI11" s="26"/>
      <c r="IXJ11" s="27"/>
      <c r="IXK11" s="28"/>
      <c r="IXL11" s="26"/>
      <c r="IXM11" s="26"/>
      <c r="IXO11" s="25"/>
      <c r="IXP11" s="26"/>
      <c r="IXQ11" s="26"/>
      <c r="IXR11" s="27"/>
      <c r="IXS11" s="28"/>
      <c r="IXT11" s="26"/>
      <c r="IXU11" s="26"/>
      <c r="IXW11" s="25"/>
      <c r="IXX11" s="26"/>
      <c r="IXY11" s="26"/>
      <c r="IXZ11" s="27"/>
      <c r="IYA11" s="28"/>
      <c r="IYB11" s="26"/>
      <c r="IYC11" s="26"/>
      <c r="IYE11" s="25"/>
      <c r="IYF11" s="26"/>
      <c r="IYG11" s="26"/>
      <c r="IYH11" s="27"/>
      <c r="IYI11" s="28"/>
      <c r="IYJ11" s="26"/>
      <c r="IYK11" s="26"/>
      <c r="IYM11" s="25"/>
      <c r="IYN11" s="26"/>
      <c r="IYO11" s="26"/>
      <c r="IYP11" s="27"/>
      <c r="IYQ11" s="28"/>
      <c r="IYR11" s="26"/>
      <c r="IYS11" s="26"/>
      <c r="IYU11" s="25"/>
      <c r="IYV11" s="26"/>
      <c r="IYW11" s="26"/>
      <c r="IYX11" s="27"/>
      <c r="IYY11" s="28"/>
      <c r="IYZ11" s="26"/>
      <c r="IZA11" s="26"/>
      <c r="IZC11" s="25"/>
      <c r="IZD11" s="26"/>
      <c r="IZE11" s="26"/>
      <c r="IZF11" s="27"/>
      <c r="IZG11" s="28"/>
      <c r="IZH11" s="26"/>
      <c r="IZI11" s="26"/>
      <c r="IZK11" s="25"/>
      <c r="IZL11" s="26"/>
      <c r="IZM11" s="26"/>
      <c r="IZN11" s="27"/>
      <c r="IZO11" s="28"/>
      <c r="IZP11" s="26"/>
      <c r="IZQ11" s="26"/>
      <c r="IZS11" s="25"/>
      <c r="IZT11" s="26"/>
      <c r="IZU11" s="26"/>
      <c r="IZV11" s="27"/>
      <c r="IZW11" s="28"/>
      <c r="IZX11" s="26"/>
      <c r="IZY11" s="26"/>
      <c r="JAA11" s="25"/>
      <c r="JAB11" s="26"/>
      <c r="JAC11" s="26"/>
      <c r="JAD11" s="27"/>
      <c r="JAE11" s="28"/>
      <c r="JAF11" s="26"/>
      <c r="JAG11" s="26"/>
      <c r="JAI11" s="25"/>
      <c r="JAJ11" s="26"/>
      <c r="JAK11" s="26"/>
      <c r="JAL11" s="27"/>
      <c r="JAM11" s="28"/>
      <c r="JAN11" s="26"/>
      <c r="JAO11" s="26"/>
      <c r="JAQ11" s="25"/>
      <c r="JAR11" s="26"/>
      <c r="JAS11" s="26"/>
      <c r="JAT11" s="27"/>
      <c r="JAU11" s="28"/>
      <c r="JAV11" s="26"/>
      <c r="JAW11" s="26"/>
      <c r="JAY11" s="25"/>
      <c r="JAZ11" s="26"/>
      <c r="JBA11" s="26"/>
      <c r="JBB11" s="27"/>
      <c r="JBC11" s="28"/>
      <c r="JBD11" s="26"/>
      <c r="JBE11" s="26"/>
      <c r="JBG11" s="25"/>
      <c r="JBH11" s="26"/>
      <c r="JBI11" s="26"/>
      <c r="JBJ11" s="27"/>
      <c r="JBK11" s="28"/>
      <c r="JBL11" s="26"/>
      <c r="JBM11" s="26"/>
      <c r="JBO11" s="25"/>
      <c r="JBP11" s="26"/>
      <c r="JBQ11" s="26"/>
      <c r="JBR11" s="27"/>
      <c r="JBS11" s="28"/>
      <c r="JBT11" s="26"/>
      <c r="JBU11" s="26"/>
      <c r="JBW11" s="25"/>
      <c r="JBX11" s="26"/>
      <c r="JBY11" s="26"/>
      <c r="JBZ11" s="27"/>
      <c r="JCA11" s="28"/>
      <c r="JCB11" s="26"/>
      <c r="JCC11" s="26"/>
      <c r="JCE11" s="25"/>
      <c r="JCF11" s="26"/>
      <c r="JCG11" s="26"/>
      <c r="JCH11" s="27"/>
      <c r="JCI11" s="28"/>
      <c r="JCJ11" s="26"/>
      <c r="JCK11" s="26"/>
      <c r="JCM11" s="25"/>
      <c r="JCN11" s="26"/>
      <c r="JCO11" s="26"/>
      <c r="JCP11" s="27"/>
      <c r="JCQ11" s="28"/>
      <c r="JCR11" s="26"/>
      <c r="JCS11" s="26"/>
      <c r="JCU11" s="25"/>
      <c r="JCV11" s="26"/>
      <c r="JCW11" s="26"/>
      <c r="JCX11" s="27"/>
      <c r="JCY11" s="28"/>
      <c r="JCZ11" s="26"/>
      <c r="JDA11" s="26"/>
      <c r="JDC11" s="25"/>
      <c r="JDD11" s="26"/>
      <c r="JDE11" s="26"/>
      <c r="JDF11" s="27"/>
      <c r="JDG11" s="28"/>
      <c r="JDH11" s="26"/>
      <c r="JDI11" s="26"/>
      <c r="JDK11" s="25"/>
      <c r="JDL11" s="26"/>
      <c r="JDM11" s="26"/>
      <c r="JDN11" s="27"/>
      <c r="JDO11" s="28"/>
      <c r="JDP11" s="26"/>
      <c r="JDQ11" s="26"/>
      <c r="JDS11" s="25"/>
      <c r="JDT11" s="26"/>
      <c r="JDU11" s="26"/>
      <c r="JDV11" s="27"/>
      <c r="JDW11" s="28"/>
      <c r="JDX11" s="26"/>
      <c r="JDY11" s="26"/>
      <c r="JEA11" s="25"/>
      <c r="JEB11" s="26"/>
      <c r="JEC11" s="26"/>
      <c r="JED11" s="27"/>
      <c r="JEE11" s="28"/>
      <c r="JEF11" s="26"/>
      <c r="JEG11" s="26"/>
      <c r="JEI11" s="25"/>
      <c r="JEJ11" s="26"/>
      <c r="JEK11" s="26"/>
      <c r="JEL11" s="27"/>
      <c r="JEM11" s="28"/>
      <c r="JEN11" s="26"/>
      <c r="JEO11" s="26"/>
      <c r="JEQ11" s="25"/>
      <c r="JER11" s="26"/>
      <c r="JES11" s="26"/>
      <c r="JET11" s="27"/>
      <c r="JEU11" s="28"/>
      <c r="JEV11" s="26"/>
      <c r="JEW11" s="26"/>
      <c r="JEY11" s="25"/>
      <c r="JEZ11" s="26"/>
      <c r="JFA11" s="26"/>
      <c r="JFB11" s="27"/>
      <c r="JFC11" s="28"/>
      <c r="JFD11" s="26"/>
      <c r="JFE11" s="26"/>
      <c r="JFG11" s="25"/>
      <c r="JFH11" s="26"/>
      <c r="JFI11" s="26"/>
      <c r="JFJ11" s="27"/>
      <c r="JFK11" s="28"/>
      <c r="JFL11" s="26"/>
      <c r="JFM11" s="26"/>
      <c r="JFO11" s="25"/>
      <c r="JFP11" s="26"/>
      <c r="JFQ11" s="26"/>
      <c r="JFR11" s="27"/>
      <c r="JFS11" s="28"/>
      <c r="JFT11" s="26"/>
      <c r="JFU11" s="26"/>
      <c r="JFW11" s="25"/>
      <c r="JFX11" s="26"/>
      <c r="JFY11" s="26"/>
      <c r="JFZ11" s="27"/>
      <c r="JGA11" s="28"/>
      <c r="JGB11" s="26"/>
      <c r="JGC11" s="26"/>
      <c r="JGE11" s="25"/>
      <c r="JGF11" s="26"/>
      <c r="JGG11" s="26"/>
      <c r="JGH11" s="27"/>
      <c r="JGI11" s="28"/>
      <c r="JGJ11" s="26"/>
      <c r="JGK11" s="26"/>
      <c r="JGM11" s="25"/>
      <c r="JGN11" s="26"/>
      <c r="JGO11" s="26"/>
      <c r="JGP11" s="27"/>
      <c r="JGQ11" s="28"/>
      <c r="JGR11" s="26"/>
      <c r="JGS11" s="26"/>
      <c r="JGU11" s="25"/>
      <c r="JGV11" s="26"/>
      <c r="JGW11" s="26"/>
      <c r="JGX11" s="27"/>
      <c r="JGY11" s="28"/>
      <c r="JGZ11" s="26"/>
      <c r="JHA11" s="26"/>
      <c r="JHC11" s="25"/>
      <c r="JHD11" s="26"/>
      <c r="JHE11" s="26"/>
      <c r="JHF11" s="27"/>
      <c r="JHG11" s="28"/>
      <c r="JHH11" s="26"/>
      <c r="JHI11" s="26"/>
      <c r="JHK11" s="25"/>
      <c r="JHL11" s="26"/>
      <c r="JHM11" s="26"/>
      <c r="JHN11" s="27"/>
      <c r="JHO11" s="28"/>
      <c r="JHP11" s="26"/>
      <c r="JHQ11" s="26"/>
      <c r="JHS11" s="25"/>
      <c r="JHT11" s="26"/>
      <c r="JHU11" s="26"/>
      <c r="JHV11" s="27"/>
      <c r="JHW11" s="28"/>
      <c r="JHX11" s="26"/>
      <c r="JHY11" s="26"/>
      <c r="JIA11" s="25"/>
      <c r="JIB11" s="26"/>
      <c r="JIC11" s="26"/>
      <c r="JID11" s="27"/>
      <c r="JIE11" s="28"/>
      <c r="JIF11" s="26"/>
      <c r="JIG11" s="26"/>
      <c r="JII11" s="25"/>
      <c r="JIJ11" s="26"/>
      <c r="JIK11" s="26"/>
      <c r="JIL11" s="27"/>
      <c r="JIM11" s="28"/>
      <c r="JIN11" s="26"/>
      <c r="JIO11" s="26"/>
      <c r="JIQ11" s="25"/>
      <c r="JIR11" s="26"/>
      <c r="JIS11" s="26"/>
      <c r="JIT11" s="27"/>
      <c r="JIU11" s="28"/>
      <c r="JIV11" s="26"/>
      <c r="JIW11" s="26"/>
      <c r="JIY11" s="25"/>
      <c r="JIZ11" s="26"/>
      <c r="JJA11" s="26"/>
      <c r="JJB11" s="27"/>
      <c r="JJC11" s="28"/>
      <c r="JJD11" s="26"/>
      <c r="JJE11" s="26"/>
      <c r="JJG11" s="25"/>
      <c r="JJH11" s="26"/>
      <c r="JJI11" s="26"/>
      <c r="JJJ11" s="27"/>
      <c r="JJK11" s="28"/>
      <c r="JJL11" s="26"/>
      <c r="JJM11" s="26"/>
      <c r="JJO11" s="25"/>
      <c r="JJP11" s="26"/>
      <c r="JJQ11" s="26"/>
      <c r="JJR11" s="27"/>
      <c r="JJS11" s="28"/>
      <c r="JJT11" s="26"/>
      <c r="JJU11" s="26"/>
      <c r="JJW11" s="25"/>
      <c r="JJX11" s="26"/>
      <c r="JJY11" s="26"/>
      <c r="JJZ11" s="27"/>
      <c r="JKA11" s="28"/>
      <c r="JKB11" s="26"/>
      <c r="JKC11" s="26"/>
      <c r="JKE11" s="25"/>
      <c r="JKF11" s="26"/>
      <c r="JKG11" s="26"/>
      <c r="JKH11" s="27"/>
      <c r="JKI11" s="28"/>
      <c r="JKJ11" s="26"/>
      <c r="JKK11" s="26"/>
      <c r="JKM11" s="25"/>
      <c r="JKN11" s="26"/>
      <c r="JKO11" s="26"/>
      <c r="JKP11" s="27"/>
      <c r="JKQ11" s="28"/>
      <c r="JKR11" s="26"/>
      <c r="JKS11" s="26"/>
      <c r="JKU11" s="25"/>
      <c r="JKV11" s="26"/>
      <c r="JKW11" s="26"/>
      <c r="JKX11" s="27"/>
      <c r="JKY11" s="28"/>
      <c r="JKZ11" s="26"/>
      <c r="JLA11" s="26"/>
      <c r="JLC11" s="25"/>
      <c r="JLD11" s="26"/>
      <c r="JLE11" s="26"/>
      <c r="JLF11" s="27"/>
      <c r="JLG11" s="28"/>
      <c r="JLH11" s="26"/>
      <c r="JLI11" s="26"/>
      <c r="JLK11" s="25"/>
      <c r="JLL11" s="26"/>
      <c r="JLM11" s="26"/>
      <c r="JLN11" s="27"/>
      <c r="JLO11" s="28"/>
      <c r="JLP11" s="26"/>
      <c r="JLQ11" s="26"/>
      <c r="JLS11" s="25"/>
      <c r="JLT11" s="26"/>
      <c r="JLU11" s="26"/>
      <c r="JLV11" s="27"/>
      <c r="JLW11" s="28"/>
      <c r="JLX11" s="26"/>
      <c r="JLY11" s="26"/>
      <c r="JMA11" s="25"/>
      <c r="JMB11" s="26"/>
      <c r="JMC11" s="26"/>
      <c r="JMD11" s="27"/>
      <c r="JME11" s="28"/>
      <c r="JMF11" s="26"/>
      <c r="JMG11" s="26"/>
      <c r="JMI11" s="25"/>
      <c r="JMJ11" s="26"/>
      <c r="JMK11" s="26"/>
      <c r="JML11" s="27"/>
      <c r="JMM11" s="28"/>
      <c r="JMN11" s="26"/>
      <c r="JMO11" s="26"/>
      <c r="JMQ11" s="25"/>
      <c r="JMR11" s="26"/>
      <c r="JMS11" s="26"/>
      <c r="JMT11" s="27"/>
      <c r="JMU11" s="28"/>
      <c r="JMV11" s="26"/>
      <c r="JMW11" s="26"/>
      <c r="JMY11" s="25"/>
      <c r="JMZ11" s="26"/>
      <c r="JNA11" s="26"/>
      <c r="JNB11" s="27"/>
      <c r="JNC11" s="28"/>
      <c r="JND11" s="26"/>
      <c r="JNE11" s="26"/>
      <c r="JNG11" s="25"/>
      <c r="JNH11" s="26"/>
      <c r="JNI11" s="26"/>
      <c r="JNJ11" s="27"/>
      <c r="JNK11" s="28"/>
      <c r="JNL11" s="26"/>
      <c r="JNM11" s="26"/>
      <c r="JNO11" s="25"/>
      <c r="JNP11" s="26"/>
      <c r="JNQ11" s="26"/>
      <c r="JNR11" s="27"/>
      <c r="JNS11" s="28"/>
      <c r="JNT11" s="26"/>
      <c r="JNU11" s="26"/>
      <c r="JNW11" s="25"/>
      <c r="JNX11" s="26"/>
      <c r="JNY11" s="26"/>
      <c r="JNZ11" s="27"/>
      <c r="JOA11" s="28"/>
      <c r="JOB11" s="26"/>
      <c r="JOC11" s="26"/>
      <c r="JOE11" s="25"/>
      <c r="JOF11" s="26"/>
      <c r="JOG11" s="26"/>
      <c r="JOH11" s="27"/>
      <c r="JOI11" s="28"/>
      <c r="JOJ11" s="26"/>
      <c r="JOK11" s="26"/>
      <c r="JOM11" s="25"/>
      <c r="JON11" s="26"/>
      <c r="JOO11" s="26"/>
      <c r="JOP11" s="27"/>
      <c r="JOQ11" s="28"/>
      <c r="JOR11" s="26"/>
      <c r="JOS11" s="26"/>
      <c r="JOU11" s="25"/>
      <c r="JOV11" s="26"/>
      <c r="JOW11" s="26"/>
      <c r="JOX11" s="27"/>
      <c r="JOY11" s="28"/>
      <c r="JOZ11" s="26"/>
      <c r="JPA11" s="26"/>
      <c r="JPC11" s="25"/>
      <c r="JPD11" s="26"/>
      <c r="JPE11" s="26"/>
      <c r="JPF11" s="27"/>
      <c r="JPG11" s="28"/>
      <c r="JPH11" s="26"/>
      <c r="JPI11" s="26"/>
      <c r="JPK11" s="25"/>
      <c r="JPL11" s="26"/>
      <c r="JPM11" s="26"/>
      <c r="JPN11" s="27"/>
      <c r="JPO11" s="28"/>
      <c r="JPP11" s="26"/>
      <c r="JPQ11" s="26"/>
      <c r="JPS11" s="25"/>
      <c r="JPT11" s="26"/>
      <c r="JPU11" s="26"/>
      <c r="JPV11" s="27"/>
      <c r="JPW11" s="28"/>
      <c r="JPX11" s="26"/>
      <c r="JPY11" s="26"/>
      <c r="JQA11" s="25"/>
      <c r="JQB11" s="26"/>
      <c r="JQC11" s="26"/>
      <c r="JQD11" s="27"/>
      <c r="JQE11" s="28"/>
      <c r="JQF11" s="26"/>
      <c r="JQG11" s="26"/>
      <c r="JQI11" s="25"/>
      <c r="JQJ11" s="26"/>
      <c r="JQK11" s="26"/>
      <c r="JQL11" s="27"/>
      <c r="JQM11" s="28"/>
      <c r="JQN11" s="26"/>
      <c r="JQO11" s="26"/>
      <c r="JQQ11" s="25"/>
      <c r="JQR11" s="26"/>
      <c r="JQS11" s="26"/>
      <c r="JQT11" s="27"/>
      <c r="JQU11" s="28"/>
      <c r="JQV11" s="26"/>
      <c r="JQW11" s="26"/>
      <c r="JQY11" s="25"/>
      <c r="JQZ11" s="26"/>
      <c r="JRA11" s="26"/>
      <c r="JRB11" s="27"/>
      <c r="JRC11" s="28"/>
      <c r="JRD11" s="26"/>
      <c r="JRE11" s="26"/>
      <c r="JRG11" s="25"/>
      <c r="JRH11" s="26"/>
      <c r="JRI11" s="26"/>
      <c r="JRJ11" s="27"/>
      <c r="JRK11" s="28"/>
      <c r="JRL11" s="26"/>
      <c r="JRM11" s="26"/>
      <c r="JRO11" s="25"/>
      <c r="JRP11" s="26"/>
      <c r="JRQ11" s="26"/>
      <c r="JRR11" s="27"/>
      <c r="JRS11" s="28"/>
      <c r="JRT11" s="26"/>
      <c r="JRU11" s="26"/>
      <c r="JRW11" s="25"/>
      <c r="JRX11" s="26"/>
      <c r="JRY11" s="26"/>
      <c r="JRZ11" s="27"/>
      <c r="JSA11" s="28"/>
      <c r="JSB11" s="26"/>
      <c r="JSC11" s="26"/>
      <c r="JSE11" s="25"/>
      <c r="JSF11" s="26"/>
      <c r="JSG11" s="26"/>
      <c r="JSH11" s="27"/>
      <c r="JSI11" s="28"/>
      <c r="JSJ11" s="26"/>
      <c r="JSK11" s="26"/>
      <c r="JSM11" s="25"/>
      <c r="JSN11" s="26"/>
      <c r="JSO11" s="26"/>
      <c r="JSP11" s="27"/>
      <c r="JSQ11" s="28"/>
      <c r="JSR11" s="26"/>
      <c r="JSS11" s="26"/>
      <c r="JSU11" s="25"/>
      <c r="JSV11" s="26"/>
      <c r="JSW11" s="26"/>
      <c r="JSX11" s="27"/>
      <c r="JSY11" s="28"/>
      <c r="JSZ11" s="26"/>
      <c r="JTA11" s="26"/>
      <c r="JTC11" s="25"/>
      <c r="JTD11" s="26"/>
      <c r="JTE11" s="26"/>
      <c r="JTF11" s="27"/>
      <c r="JTG11" s="28"/>
      <c r="JTH11" s="26"/>
      <c r="JTI11" s="26"/>
      <c r="JTK11" s="25"/>
      <c r="JTL11" s="26"/>
      <c r="JTM11" s="26"/>
      <c r="JTN11" s="27"/>
      <c r="JTO11" s="28"/>
      <c r="JTP11" s="26"/>
      <c r="JTQ11" s="26"/>
      <c r="JTS11" s="25"/>
      <c r="JTT11" s="26"/>
      <c r="JTU11" s="26"/>
      <c r="JTV11" s="27"/>
      <c r="JTW11" s="28"/>
      <c r="JTX11" s="26"/>
      <c r="JTY11" s="26"/>
      <c r="JUA11" s="25"/>
      <c r="JUB11" s="26"/>
      <c r="JUC11" s="26"/>
      <c r="JUD11" s="27"/>
      <c r="JUE11" s="28"/>
      <c r="JUF11" s="26"/>
      <c r="JUG11" s="26"/>
      <c r="JUI11" s="25"/>
      <c r="JUJ11" s="26"/>
      <c r="JUK11" s="26"/>
      <c r="JUL11" s="27"/>
      <c r="JUM11" s="28"/>
      <c r="JUN11" s="26"/>
      <c r="JUO11" s="26"/>
      <c r="JUQ11" s="25"/>
      <c r="JUR11" s="26"/>
      <c r="JUS11" s="26"/>
      <c r="JUT11" s="27"/>
      <c r="JUU11" s="28"/>
      <c r="JUV11" s="26"/>
      <c r="JUW11" s="26"/>
      <c r="JUY11" s="25"/>
      <c r="JUZ11" s="26"/>
      <c r="JVA11" s="26"/>
      <c r="JVB11" s="27"/>
      <c r="JVC11" s="28"/>
      <c r="JVD11" s="26"/>
      <c r="JVE11" s="26"/>
      <c r="JVG11" s="25"/>
      <c r="JVH11" s="26"/>
      <c r="JVI11" s="26"/>
      <c r="JVJ11" s="27"/>
      <c r="JVK11" s="28"/>
      <c r="JVL11" s="26"/>
      <c r="JVM11" s="26"/>
      <c r="JVO11" s="25"/>
      <c r="JVP11" s="26"/>
      <c r="JVQ11" s="26"/>
      <c r="JVR11" s="27"/>
      <c r="JVS11" s="28"/>
      <c r="JVT11" s="26"/>
      <c r="JVU11" s="26"/>
      <c r="JVW11" s="25"/>
      <c r="JVX11" s="26"/>
      <c r="JVY11" s="26"/>
      <c r="JVZ11" s="27"/>
      <c r="JWA11" s="28"/>
      <c r="JWB11" s="26"/>
      <c r="JWC11" s="26"/>
      <c r="JWE11" s="25"/>
      <c r="JWF11" s="26"/>
      <c r="JWG11" s="26"/>
      <c r="JWH11" s="27"/>
      <c r="JWI11" s="28"/>
      <c r="JWJ11" s="26"/>
      <c r="JWK11" s="26"/>
      <c r="JWM11" s="25"/>
      <c r="JWN11" s="26"/>
      <c r="JWO11" s="26"/>
      <c r="JWP11" s="27"/>
      <c r="JWQ11" s="28"/>
      <c r="JWR11" s="26"/>
      <c r="JWS11" s="26"/>
      <c r="JWU11" s="25"/>
      <c r="JWV11" s="26"/>
      <c r="JWW11" s="26"/>
      <c r="JWX11" s="27"/>
      <c r="JWY11" s="28"/>
      <c r="JWZ11" s="26"/>
      <c r="JXA11" s="26"/>
      <c r="JXC11" s="25"/>
      <c r="JXD11" s="26"/>
      <c r="JXE11" s="26"/>
      <c r="JXF11" s="27"/>
      <c r="JXG11" s="28"/>
      <c r="JXH11" s="26"/>
      <c r="JXI11" s="26"/>
      <c r="JXK11" s="25"/>
      <c r="JXL11" s="26"/>
      <c r="JXM11" s="26"/>
      <c r="JXN11" s="27"/>
      <c r="JXO11" s="28"/>
      <c r="JXP11" s="26"/>
      <c r="JXQ11" s="26"/>
      <c r="JXS11" s="25"/>
      <c r="JXT11" s="26"/>
      <c r="JXU11" s="26"/>
      <c r="JXV11" s="27"/>
      <c r="JXW11" s="28"/>
      <c r="JXX11" s="26"/>
      <c r="JXY11" s="26"/>
      <c r="JYA11" s="25"/>
      <c r="JYB11" s="26"/>
      <c r="JYC11" s="26"/>
      <c r="JYD11" s="27"/>
      <c r="JYE11" s="28"/>
      <c r="JYF11" s="26"/>
      <c r="JYG11" s="26"/>
      <c r="JYI11" s="25"/>
      <c r="JYJ11" s="26"/>
      <c r="JYK11" s="26"/>
      <c r="JYL11" s="27"/>
      <c r="JYM11" s="28"/>
      <c r="JYN11" s="26"/>
      <c r="JYO11" s="26"/>
      <c r="JYQ11" s="25"/>
      <c r="JYR11" s="26"/>
      <c r="JYS11" s="26"/>
      <c r="JYT11" s="27"/>
      <c r="JYU11" s="28"/>
      <c r="JYV11" s="26"/>
      <c r="JYW11" s="26"/>
      <c r="JYY11" s="25"/>
      <c r="JYZ11" s="26"/>
      <c r="JZA11" s="26"/>
      <c r="JZB11" s="27"/>
      <c r="JZC11" s="28"/>
      <c r="JZD11" s="26"/>
      <c r="JZE11" s="26"/>
      <c r="JZG11" s="25"/>
      <c r="JZH11" s="26"/>
      <c r="JZI11" s="26"/>
      <c r="JZJ11" s="27"/>
      <c r="JZK11" s="28"/>
      <c r="JZL11" s="26"/>
      <c r="JZM11" s="26"/>
      <c r="JZO11" s="25"/>
      <c r="JZP11" s="26"/>
      <c r="JZQ11" s="26"/>
      <c r="JZR11" s="27"/>
      <c r="JZS11" s="28"/>
      <c r="JZT11" s="26"/>
      <c r="JZU11" s="26"/>
      <c r="JZW11" s="25"/>
      <c r="JZX11" s="26"/>
      <c r="JZY11" s="26"/>
      <c r="JZZ11" s="27"/>
      <c r="KAA11" s="28"/>
      <c r="KAB11" s="26"/>
      <c r="KAC11" s="26"/>
      <c r="KAE11" s="25"/>
      <c r="KAF11" s="26"/>
      <c r="KAG11" s="26"/>
      <c r="KAH11" s="27"/>
      <c r="KAI11" s="28"/>
      <c r="KAJ11" s="26"/>
      <c r="KAK11" s="26"/>
      <c r="KAM11" s="25"/>
      <c r="KAN11" s="26"/>
      <c r="KAO11" s="26"/>
      <c r="KAP11" s="27"/>
      <c r="KAQ11" s="28"/>
      <c r="KAR11" s="26"/>
      <c r="KAS11" s="26"/>
      <c r="KAU11" s="25"/>
      <c r="KAV11" s="26"/>
      <c r="KAW11" s="26"/>
      <c r="KAX11" s="27"/>
      <c r="KAY11" s="28"/>
      <c r="KAZ11" s="26"/>
      <c r="KBA11" s="26"/>
      <c r="KBC11" s="25"/>
      <c r="KBD11" s="26"/>
      <c r="KBE11" s="26"/>
      <c r="KBF11" s="27"/>
      <c r="KBG11" s="28"/>
      <c r="KBH11" s="26"/>
      <c r="KBI11" s="26"/>
      <c r="KBK11" s="25"/>
      <c r="KBL11" s="26"/>
      <c r="KBM11" s="26"/>
      <c r="KBN11" s="27"/>
      <c r="KBO11" s="28"/>
      <c r="KBP11" s="26"/>
      <c r="KBQ11" s="26"/>
      <c r="KBS11" s="25"/>
      <c r="KBT11" s="26"/>
      <c r="KBU11" s="26"/>
      <c r="KBV11" s="27"/>
      <c r="KBW11" s="28"/>
      <c r="KBX11" s="26"/>
      <c r="KBY11" s="26"/>
      <c r="KCA11" s="25"/>
      <c r="KCB11" s="26"/>
      <c r="KCC11" s="26"/>
      <c r="KCD11" s="27"/>
      <c r="KCE11" s="28"/>
      <c r="KCF11" s="26"/>
      <c r="KCG11" s="26"/>
      <c r="KCI11" s="25"/>
      <c r="KCJ11" s="26"/>
      <c r="KCK11" s="26"/>
      <c r="KCL11" s="27"/>
      <c r="KCM11" s="28"/>
      <c r="KCN11" s="26"/>
      <c r="KCO11" s="26"/>
      <c r="KCQ11" s="25"/>
      <c r="KCR11" s="26"/>
      <c r="KCS11" s="26"/>
      <c r="KCT11" s="27"/>
      <c r="KCU11" s="28"/>
      <c r="KCV11" s="26"/>
      <c r="KCW11" s="26"/>
      <c r="KCY11" s="25"/>
      <c r="KCZ11" s="26"/>
      <c r="KDA11" s="26"/>
      <c r="KDB11" s="27"/>
      <c r="KDC11" s="28"/>
      <c r="KDD11" s="26"/>
      <c r="KDE11" s="26"/>
      <c r="KDG11" s="25"/>
      <c r="KDH11" s="26"/>
      <c r="KDI11" s="26"/>
      <c r="KDJ11" s="27"/>
      <c r="KDK11" s="28"/>
      <c r="KDL11" s="26"/>
      <c r="KDM11" s="26"/>
      <c r="KDO11" s="25"/>
      <c r="KDP11" s="26"/>
      <c r="KDQ11" s="26"/>
      <c r="KDR11" s="27"/>
      <c r="KDS11" s="28"/>
      <c r="KDT11" s="26"/>
      <c r="KDU11" s="26"/>
      <c r="KDW11" s="25"/>
      <c r="KDX11" s="26"/>
      <c r="KDY11" s="26"/>
      <c r="KDZ11" s="27"/>
      <c r="KEA11" s="28"/>
      <c r="KEB11" s="26"/>
      <c r="KEC11" s="26"/>
      <c r="KEE11" s="25"/>
      <c r="KEF11" s="26"/>
      <c r="KEG11" s="26"/>
      <c r="KEH11" s="27"/>
      <c r="KEI11" s="28"/>
      <c r="KEJ11" s="26"/>
      <c r="KEK11" s="26"/>
      <c r="KEM11" s="25"/>
      <c r="KEN11" s="26"/>
      <c r="KEO11" s="26"/>
      <c r="KEP11" s="27"/>
      <c r="KEQ11" s="28"/>
      <c r="KER11" s="26"/>
      <c r="KES11" s="26"/>
      <c r="KEU11" s="25"/>
      <c r="KEV11" s="26"/>
      <c r="KEW11" s="26"/>
      <c r="KEX11" s="27"/>
      <c r="KEY11" s="28"/>
      <c r="KEZ11" s="26"/>
      <c r="KFA11" s="26"/>
      <c r="KFC11" s="25"/>
      <c r="KFD11" s="26"/>
      <c r="KFE11" s="26"/>
      <c r="KFF11" s="27"/>
      <c r="KFG11" s="28"/>
      <c r="KFH11" s="26"/>
      <c r="KFI11" s="26"/>
      <c r="KFK11" s="25"/>
      <c r="KFL11" s="26"/>
      <c r="KFM11" s="26"/>
      <c r="KFN11" s="27"/>
      <c r="KFO11" s="28"/>
      <c r="KFP11" s="26"/>
      <c r="KFQ11" s="26"/>
      <c r="KFS11" s="25"/>
      <c r="KFT11" s="26"/>
      <c r="KFU11" s="26"/>
      <c r="KFV11" s="27"/>
      <c r="KFW11" s="28"/>
      <c r="KFX11" s="26"/>
      <c r="KFY11" s="26"/>
      <c r="KGA11" s="25"/>
      <c r="KGB11" s="26"/>
      <c r="KGC11" s="26"/>
      <c r="KGD11" s="27"/>
      <c r="KGE11" s="28"/>
      <c r="KGF11" s="26"/>
      <c r="KGG11" s="26"/>
      <c r="KGI11" s="25"/>
      <c r="KGJ11" s="26"/>
      <c r="KGK11" s="26"/>
      <c r="KGL11" s="27"/>
      <c r="KGM11" s="28"/>
      <c r="KGN11" s="26"/>
      <c r="KGO11" s="26"/>
      <c r="KGQ11" s="25"/>
      <c r="KGR11" s="26"/>
      <c r="KGS11" s="26"/>
      <c r="KGT11" s="27"/>
      <c r="KGU11" s="28"/>
      <c r="KGV11" s="26"/>
      <c r="KGW11" s="26"/>
      <c r="KGY11" s="25"/>
      <c r="KGZ11" s="26"/>
      <c r="KHA11" s="26"/>
      <c r="KHB11" s="27"/>
      <c r="KHC11" s="28"/>
      <c r="KHD11" s="26"/>
      <c r="KHE11" s="26"/>
      <c r="KHG11" s="25"/>
      <c r="KHH11" s="26"/>
      <c r="KHI11" s="26"/>
      <c r="KHJ11" s="27"/>
      <c r="KHK11" s="28"/>
      <c r="KHL11" s="26"/>
      <c r="KHM11" s="26"/>
      <c r="KHO11" s="25"/>
      <c r="KHP11" s="26"/>
      <c r="KHQ11" s="26"/>
      <c r="KHR11" s="27"/>
      <c r="KHS11" s="28"/>
      <c r="KHT11" s="26"/>
      <c r="KHU11" s="26"/>
      <c r="KHW11" s="25"/>
      <c r="KHX11" s="26"/>
      <c r="KHY11" s="26"/>
      <c r="KHZ11" s="27"/>
      <c r="KIA11" s="28"/>
      <c r="KIB11" s="26"/>
      <c r="KIC11" s="26"/>
      <c r="KIE11" s="25"/>
      <c r="KIF11" s="26"/>
      <c r="KIG11" s="26"/>
      <c r="KIH11" s="27"/>
      <c r="KII11" s="28"/>
      <c r="KIJ11" s="26"/>
      <c r="KIK11" s="26"/>
      <c r="KIM11" s="25"/>
      <c r="KIN11" s="26"/>
      <c r="KIO11" s="26"/>
      <c r="KIP11" s="27"/>
      <c r="KIQ11" s="28"/>
      <c r="KIR11" s="26"/>
      <c r="KIS11" s="26"/>
      <c r="KIU11" s="25"/>
      <c r="KIV11" s="26"/>
      <c r="KIW11" s="26"/>
      <c r="KIX11" s="27"/>
      <c r="KIY11" s="28"/>
      <c r="KIZ11" s="26"/>
      <c r="KJA11" s="26"/>
      <c r="KJC11" s="25"/>
      <c r="KJD11" s="26"/>
      <c r="KJE11" s="26"/>
      <c r="KJF11" s="27"/>
      <c r="KJG11" s="28"/>
      <c r="KJH11" s="26"/>
      <c r="KJI11" s="26"/>
      <c r="KJK11" s="25"/>
      <c r="KJL11" s="26"/>
      <c r="KJM11" s="26"/>
      <c r="KJN11" s="27"/>
      <c r="KJO11" s="28"/>
      <c r="KJP11" s="26"/>
      <c r="KJQ11" s="26"/>
      <c r="KJS11" s="25"/>
      <c r="KJT11" s="26"/>
      <c r="KJU11" s="26"/>
      <c r="KJV11" s="27"/>
      <c r="KJW11" s="28"/>
      <c r="KJX11" s="26"/>
      <c r="KJY11" s="26"/>
      <c r="KKA11" s="25"/>
      <c r="KKB11" s="26"/>
      <c r="KKC11" s="26"/>
      <c r="KKD11" s="27"/>
      <c r="KKE11" s="28"/>
      <c r="KKF11" s="26"/>
      <c r="KKG11" s="26"/>
      <c r="KKI11" s="25"/>
      <c r="KKJ11" s="26"/>
      <c r="KKK11" s="26"/>
      <c r="KKL11" s="27"/>
      <c r="KKM11" s="28"/>
      <c r="KKN11" s="26"/>
      <c r="KKO11" s="26"/>
      <c r="KKQ11" s="25"/>
      <c r="KKR11" s="26"/>
      <c r="KKS11" s="26"/>
      <c r="KKT11" s="27"/>
      <c r="KKU11" s="28"/>
      <c r="KKV11" s="26"/>
      <c r="KKW11" s="26"/>
      <c r="KKY11" s="25"/>
      <c r="KKZ11" s="26"/>
      <c r="KLA11" s="26"/>
      <c r="KLB11" s="27"/>
      <c r="KLC11" s="28"/>
      <c r="KLD11" s="26"/>
      <c r="KLE11" s="26"/>
      <c r="KLG11" s="25"/>
      <c r="KLH11" s="26"/>
      <c r="KLI11" s="26"/>
      <c r="KLJ11" s="27"/>
      <c r="KLK11" s="28"/>
      <c r="KLL11" s="26"/>
      <c r="KLM11" s="26"/>
      <c r="KLO11" s="25"/>
      <c r="KLP11" s="26"/>
      <c r="KLQ11" s="26"/>
      <c r="KLR11" s="27"/>
      <c r="KLS11" s="28"/>
      <c r="KLT11" s="26"/>
      <c r="KLU11" s="26"/>
      <c r="KLW11" s="25"/>
      <c r="KLX11" s="26"/>
      <c r="KLY11" s="26"/>
      <c r="KLZ11" s="27"/>
      <c r="KMA11" s="28"/>
      <c r="KMB11" s="26"/>
      <c r="KMC11" s="26"/>
      <c r="KME11" s="25"/>
      <c r="KMF11" s="26"/>
      <c r="KMG11" s="26"/>
      <c r="KMH11" s="27"/>
      <c r="KMI11" s="28"/>
      <c r="KMJ11" s="26"/>
      <c r="KMK11" s="26"/>
      <c r="KMM11" s="25"/>
      <c r="KMN11" s="26"/>
      <c r="KMO11" s="26"/>
      <c r="KMP11" s="27"/>
      <c r="KMQ11" s="28"/>
      <c r="KMR11" s="26"/>
      <c r="KMS11" s="26"/>
      <c r="KMU11" s="25"/>
      <c r="KMV11" s="26"/>
      <c r="KMW11" s="26"/>
      <c r="KMX11" s="27"/>
      <c r="KMY11" s="28"/>
      <c r="KMZ11" s="26"/>
      <c r="KNA11" s="26"/>
      <c r="KNC11" s="25"/>
      <c r="KND11" s="26"/>
      <c r="KNE11" s="26"/>
      <c r="KNF11" s="27"/>
      <c r="KNG11" s="28"/>
      <c r="KNH11" s="26"/>
      <c r="KNI11" s="26"/>
      <c r="KNK11" s="25"/>
      <c r="KNL11" s="26"/>
      <c r="KNM11" s="26"/>
      <c r="KNN11" s="27"/>
      <c r="KNO11" s="28"/>
      <c r="KNP11" s="26"/>
      <c r="KNQ11" s="26"/>
      <c r="KNS11" s="25"/>
      <c r="KNT11" s="26"/>
      <c r="KNU11" s="26"/>
      <c r="KNV11" s="27"/>
      <c r="KNW11" s="28"/>
      <c r="KNX11" s="26"/>
      <c r="KNY11" s="26"/>
      <c r="KOA11" s="25"/>
      <c r="KOB11" s="26"/>
      <c r="KOC11" s="26"/>
      <c r="KOD11" s="27"/>
      <c r="KOE11" s="28"/>
      <c r="KOF11" s="26"/>
      <c r="KOG11" s="26"/>
      <c r="KOI11" s="25"/>
      <c r="KOJ11" s="26"/>
      <c r="KOK11" s="26"/>
      <c r="KOL11" s="27"/>
      <c r="KOM11" s="28"/>
      <c r="KON11" s="26"/>
      <c r="KOO11" s="26"/>
      <c r="KOQ11" s="25"/>
      <c r="KOR11" s="26"/>
      <c r="KOS11" s="26"/>
      <c r="KOT11" s="27"/>
      <c r="KOU11" s="28"/>
      <c r="KOV11" s="26"/>
      <c r="KOW11" s="26"/>
      <c r="KOY11" s="25"/>
      <c r="KOZ11" s="26"/>
      <c r="KPA11" s="26"/>
      <c r="KPB11" s="27"/>
      <c r="KPC11" s="28"/>
      <c r="KPD11" s="26"/>
      <c r="KPE11" s="26"/>
      <c r="KPG11" s="25"/>
      <c r="KPH11" s="26"/>
      <c r="KPI11" s="26"/>
      <c r="KPJ11" s="27"/>
      <c r="KPK11" s="28"/>
      <c r="KPL11" s="26"/>
      <c r="KPM11" s="26"/>
      <c r="KPO11" s="25"/>
      <c r="KPP11" s="26"/>
      <c r="KPQ11" s="26"/>
      <c r="KPR11" s="27"/>
      <c r="KPS11" s="28"/>
      <c r="KPT11" s="26"/>
      <c r="KPU11" s="26"/>
      <c r="KPW11" s="25"/>
      <c r="KPX11" s="26"/>
      <c r="KPY11" s="26"/>
      <c r="KPZ11" s="27"/>
      <c r="KQA11" s="28"/>
      <c r="KQB11" s="26"/>
      <c r="KQC11" s="26"/>
      <c r="KQE11" s="25"/>
      <c r="KQF11" s="26"/>
      <c r="KQG11" s="26"/>
      <c r="KQH11" s="27"/>
      <c r="KQI11" s="28"/>
      <c r="KQJ11" s="26"/>
      <c r="KQK11" s="26"/>
      <c r="KQM11" s="25"/>
      <c r="KQN11" s="26"/>
      <c r="KQO11" s="26"/>
      <c r="KQP11" s="27"/>
      <c r="KQQ11" s="28"/>
      <c r="KQR11" s="26"/>
      <c r="KQS11" s="26"/>
      <c r="KQU11" s="25"/>
      <c r="KQV11" s="26"/>
      <c r="KQW11" s="26"/>
      <c r="KQX11" s="27"/>
      <c r="KQY11" s="28"/>
      <c r="KQZ11" s="26"/>
      <c r="KRA11" s="26"/>
      <c r="KRC11" s="25"/>
      <c r="KRD11" s="26"/>
      <c r="KRE11" s="26"/>
      <c r="KRF11" s="27"/>
      <c r="KRG11" s="28"/>
      <c r="KRH11" s="26"/>
      <c r="KRI11" s="26"/>
      <c r="KRK11" s="25"/>
      <c r="KRL11" s="26"/>
      <c r="KRM11" s="26"/>
      <c r="KRN11" s="27"/>
      <c r="KRO11" s="28"/>
      <c r="KRP11" s="26"/>
      <c r="KRQ11" s="26"/>
      <c r="KRS11" s="25"/>
      <c r="KRT11" s="26"/>
      <c r="KRU11" s="26"/>
      <c r="KRV11" s="27"/>
      <c r="KRW11" s="28"/>
      <c r="KRX11" s="26"/>
      <c r="KRY11" s="26"/>
      <c r="KSA11" s="25"/>
      <c r="KSB11" s="26"/>
      <c r="KSC11" s="26"/>
      <c r="KSD11" s="27"/>
      <c r="KSE11" s="28"/>
      <c r="KSF11" s="26"/>
      <c r="KSG11" s="26"/>
      <c r="KSI11" s="25"/>
      <c r="KSJ11" s="26"/>
      <c r="KSK11" s="26"/>
      <c r="KSL11" s="27"/>
      <c r="KSM11" s="28"/>
      <c r="KSN11" s="26"/>
      <c r="KSO11" s="26"/>
      <c r="KSQ11" s="25"/>
      <c r="KSR11" s="26"/>
      <c r="KSS11" s="26"/>
      <c r="KST11" s="27"/>
      <c r="KSU11" s="28"/>
      <c r="KSV11" s="26"/>
      <c r="KSW11" s="26"/>
      <c r="KSY11" s="25"/>
      <c r="KSZ11" s="26"/>
      <c r="KTA11" s="26"/>
      <c r="KTB11" s="27"/>
      <c r="KTC11" s="28"/>
      <c r="KTD11" s="26"/>
      <c r="KTE11" s="26"/>
      <c r="KTG11" s="25"/>
      <c r="KTH11" s="26"/>
      <c r="KTI11" s="26"/>
      <c r="KTJ11" s="27"/>
      <c r="KTK11" s="28"/>
      <c r="KTL11" s="26"/>
      <c r="KTM11" s="26"/>
      <c r="KTO11" s="25"/>
      <c r="KTP11" s="26"/>
      <c r="KTQ11" s="26"/>
      <c r="KTR11" s="27"/>
      <c r="KTS11" s="28"/>
      <c r="KTT11" s="26"/>
      <c r="KTU11" s="26"/>
      <c r="KTW11" s="25"/>
      <c r="KTX11" s="26"/>
      <c r="KTY11" s="26"/>
      <c r="KTZ11" s="27"/>
      <c r="KUA11" s="28"/>
      <c r="KUB11" s="26"/>
      <c r="KUC11" s="26"/>
      <c r="KUE11" s="25"/>
      <c r="KUF11" s="26"/>
      <c r="KUG11" s="26"/>
      <c r="KUH11" s="27"/>
      <c r="KUI11" s="28"/>
      <c r="KUJ11" s="26"/>
      <c r="KUK11" s="26"/>
      <c r="KUM11" s="25"/>
      <c r="KUN11" s="26"/>
      <c r="KUO11" s="26"/>
      <c r="KUP11" s="27"/>
      <c r="KUQ11" s="28"/>
      <c r="KUR11" s="26"/>
      <c r="KUS11" s="26"/>
      <c r="KUU11" s="25"/>
      <c r="KUV11" s="26"/>
      <c r="KUW11" s="26"/>
      <c r="KUX11" s="27"/>
      <c r="KUY11" s="28"/>
      <c r="KUZ11" s="26"/>
      <c r="KVA11" s="26"/>
      <c r="KVC11" s="25"/>
      <c r="KVD11" s="26"/>
      <c r="KVE11" s="26"/>
      <c r="KVF11" s="27"/>
      <c r="KVG11" s="28"/>
      <c r="KVH11" s="26"/>
      <c r="KVI11" s="26"/>
      <c r="KVK11" s="25"/>
      <c r="KVL11" s="26"/>
      <c r="KVM11" s="26"/>
      <c r="KVN11" s="27"/>
      <c r="KVO11" s="28"/>
      <c r="KVP11" s="26"/>
      <c r="KVQ11" s="26"/>
      <c r="KVS11" s="25"/>
      <c r="KVT11" s="26"/>
      <c r="KVU11" s="26"/>
      <c r="KVV11" s="27"/>
      <c r="KVW11" s="28"/>
      <c r="KVX11" s="26"/>
      <c r="KVY11" s="26"/>
      <c r="KWA11" s="25"/>
      <c r="KWB11" s="26"/>
      <c r="KWC11" s="26"/>
      <c r="KWD11" s="27"/>
      <c r="KWE11" s="28"/>
      <c r="KWF11" s="26"/>
      <c r="KWG11" s="26"/>
      <c r="KWI11" s="25"/>
      <c r="KWJ11" s="26"/>
      <c r="KWK11" s="26"/>
      <c r="KWL11" s="27"/>
      <c r="KWM11" s="28"/>
      <c r="KWN11" s="26"/>
      <c r="KWO11" s="26"/>
      <c r="KWQ11" s="25"/>
      <c r="KWR11" s="26"/>
      <c r="KWS11" s="26"/>
      <c r="KWT11" s="27"/>
      <c r="KWU11" s="28"/>
      <c r="KWV11" s="26"/>
      <c r="KWW11" s="26"/>
      <c r="KWY11" s="25"/>
      <c r="KWZ11" s="26"/>
      <c r="KXA11" s="26"/>
      <c r="KXB11" s="27"/>
      <c r="KXC11" s="28"/>
      <c r="KXD11" s="26"/>
      <c r="KXE11" s="26"/>
      <c r="KXG11" s="25"/>
      <c r="KXH11" s="26"/>
      <c r="KXI11" s="26"/>
      <c r="KXJ11" s="27"/>
      <c r="KXK11" s="28"/>
      <c r="KXL11" s="26"/>
      <c r="KXM11" s="26"/>
      <c r="KXO11" s="25"/>
      <c r="KXP11" s="26"/>
      <c r="KXQ11" s="26"/>
      <c r="KXR11" s="27"/>
      <c r="KXS11" s="28"/>
      <c r="KXT11" s="26"/>
      <c r="KXU11" s="26"/>
      <c r="KXW11" s="25"/>
      <c r="KXX11" s="26"/>
      <c r="KXY11" s="26"/>
      <c r="KXZ11" s="27"/>
      <c r="KYA11" s="28"/>
      <c r="KYB11" s="26"/>
      <c r="KYC11" s="26"/>
      <c r="KYE11" s="25"/>
      <c r="KYF11" s="26"/>
      <c r="KYG11" s="26"/>
      <c r="KYH11" s="27"/>
      <c r="KYI11" s="28"/>
      <c r="KYJ11" s="26"/>
      <c r="KYK11" s="26"/>
      <c r="KYM11" s="25"/>
      <c r="KYN11" s="26"/>
      <c r="KYO11" s="26"/>
      <c r="KYP11" s="27"/>
      <c r="KYQ11" s="28"/>
      <c r="KYR11" s="26"/>
      <c r="KYS11" s="26"/>
      <c r="KYU11" s="25"/>
      <c r="KYV11" s="26"/>
      <c r="KYW11" s="26"/>
      <c r="KYX11" s="27"/>
      <c r="KYY11" s="28"/>
      <c r="KYZ11" s="26"/>
      <c r="KZA11" s="26"/>
      <c r="KZC11" s="25"/>
      <c r="KZD11" s="26"/>
      <c r="KZE11" s="26"/>
      <c r="KZF11" s="27"/>
      <c r="KZG11" s="28"/>
      <c r="KZH11" s="26"/>
      <c r="KZI11" s="26"/>
      <c r="KZK11" s="25"/>
      <c r="KZL11" s="26"/>
      <c r="KZM11" s="26"/>
      <c r="KZN11" s="27"/>
      <c r="KZO11" s="28"/>
      <c r="KZP11" s="26"/>
      <c r="KZQ11" s="26"/>
      <c r="KZS11" s="25"/>
      <c r="KZT11" s="26"/>
      <c r="KZU11" s="26"/>
      <c r="KZV11" s="27"/>
      <c r="KZW11" s="28"/>
      <c r="KZX11" s="26"/>
      <c r="KZY11" s="26"/>
      <c r="LAA11" s="25"/>
      <c r="LAB11" s="26"/>
      <c r="LAC11" s="26"/>
      <c r="LAD11" s="27"/>
      <c r="LAE11" s="28"/>
      <c r="LAF11" s="26"/>
      <c r="LAG11" s="26"/>
      <c r="LAI11" s="25"/>
      <c r="LAJ11" s="26"/>
      <c r="LAK11" s="26"/>
      <c r="LAL11" s="27"/>
      <c r="LAM11" s="28"/>
      <c r="LAN11" s="26"/>
      <c r="LAO11" s="26"/>
      <c r="LAQ11" s="25"/>
      <c r="LAR11" s="26"/>
      <c r="LAS11" s="26"/>
      <c r="LAT11" s="27"/>
      <c r="LAU11" s="28"/>
      <c r="LAV11" s="26"/>
      <c r="LAW11" s="26"/>
      <c r="LAY11" s="25"/>
      <c r="LAZ11" s="26"/>
      <c r="LBA11" s="26"/>
      <c r="LBB11" s="27"/>
      <c r="LBC11" s="28"/>
      <c r="LBD11" s="26"/>
      <c r="LBE11" s="26"/>
      <c r="LBG11" s="25"/>
      <c r="LBH11" s="26"/>
      <c r="LBI11" s="26"/>
      <c r="LBJ11" s="27"/>
      <c r="LBK11" s="28"/>
      <c r="LBL11" s="26"/>
      <c r="LBM11" s="26"/>
      <c r="LBO11" s="25"/>
      <c r="LBP11" s="26"/>
      <c r="LBQ11" s="26"/>
      <c r="LBR11" s="27"/>
      <c r="LBS11" s="28"/>
      <c r="LBT11" s="26"/>
      <c r="LBU11" s="26"/>
      <c r="LBW11" s="25"/>
      <c r="LBX11" s="26"/>
      <c r="LBY11" s="26"/>
      <c r="LBZ11" s="27"/>
      <c r="LCA11" s="28"/>
      <c r="LCB11" s="26"/>
      <c r="LCC11" s="26"/>
      <c r="LCE11" s="25"/>
      <c r="LCF11" s="26"/>
      <c r="LCG11" s="26"/>
      <c r="LCH11" s="27"/>
      <c r="LCI11" s="28"/>
      <c r="LCJ11" s="26"/>
      <c r="LCK11" s="26"/>
      <c r="LCM11" s="25"/>
      <c r="LCN11" s="26"/>
      <c r="LCO11" s="26"/>
      <c r="LCP11" s="27"/>
      <c r="LCQ11" s="28"/>
      <c r="LCR11" s="26"/>
      <c r="LCS11" s="26"/>
      <c r="LCU11" s="25"/>
      <c r="LCV11" s="26"/>
      <c r="LCW11" s="26"/>
      <c r="LCX11" s="27"/>
      <c r="LCY11" s="28"/>
      <c r="LCZ11" s="26"/>
      <c r="LDA11" s="26"/>
      <c r="LDC11" s="25"/>
      <c r="LDD11" s="26"/>
      <c r="LDE11" s="26"/>
      <c r="LDF11" s="27"/>
      <c r="LDG11" s="28"/>
      <c r="LDH11" s="26"/>
      <c r="LDI11" s="26"/>
      <c r="LDK11" s="25"/>
      <c r="LDL11" s="26"/>
      <c r="LDM11" s="26"/>
      <c r="LDN11" s="27"/>
      <c r="LDO11" s="28"/>
      <c r="LDP11" s="26"/>
      <c r="LDQ11" s="26"/>
      <c r="LDS11" s="25"/>
      <c r="LDT11" s="26"/>
      <c r="LDU11" s="26"/>
      <c r="LDV11" s="27"/>
      <c r="LDW11" s="28"/>
      <c r="LDX11" s="26"/>
      <c r="LDY11" s="26"/>
      <c r="LEA11" s="25"/>
      <c r="LEB11" s="26"/>
      <c r="LEC11" s="26"/>
      <c r="LED11" s="27"/>
      <c r="LEE11" s="28"/>
      <c r="LEF11" s="26"/>
      <c r="LEG11" s="26"/>
      <c r="LEI11" s="25"/>
      <c r="LEJ11" s="26"/>
      <c r="LEK11" s="26"/>
      <c r="LEL11" s="27"/>
      <c r="LEM11" s="28"/>
      <c r="LEN11" s="26"/>
      <c r="LEO11" s="26"/>
      <c r="LEQ11" s="25"/>
      <c r="LER11" s="26"/>
      <c r="LES11" s="26"/>
      <c r="LET11" s="27"/>
      <c r="LEU11" s="28"/>
      <c r="LEV11" s="26"/>
      <c r="LEW11" s="26"/>
      <c r="LEY11" s="25"/>
      <c r="LEZ11" s="26"/>
      <c r="LFA11" s="26"/>
      <c r="LFB11" s="27"/>
      <c r="LFC11" s="28"/>
      <c r="LFD11" s="26"/>
      <c r="LFE11" s="26"/>
      <c r="LFG11" s="25"/>
      <c r="LFH11" s="26"/>
      <c r="LFI11" s="26"/>
      <c r="LFJ11" s="27"/>
      <c r="LFK11" s="28"/>
      <c r="LFL11" s="26"/>
      <c r="LFM11" s="26"/>
      <c r="LFO11" s="25"/>
      <c r="LFP11" s="26"/>
      <c r="LFQ11" s="26"/>
      <c r="LFR11" s="27"/>
      <c r="LFS11" s="28"/>
      <c r="LFT11" s="26"/>
      <c r="LFU11" s="26"/>
      <c r="LFW11" s="25"/>
      <c r="LFX11" s="26"/>
      <c r="LFY11" s="26"/>
      <c r="LFZ11" s="27"/>
      <c r="LGA11" s="28"/>
      <c r="LGB11" s="26"/>
      <c r="LGC11" s="26"/>
      <c r="LGE11" s="25"/>
      <c r="LGF11" s="26"/>
      <c r="LGG11" s="26"/>
      <c r="LGH11" s="27"/>
      <c r="LGI11" s="28"/>
      <c r="LGJ11" s="26"/>
      <c r="LGK11" s="26"/>
      <c r="LGM11" s="25"/>
      <c r="LGN11" s="26"/>
      <c r="LGO11" s="26"/>
      <c r="LGP11" s="27"/>
      <c r="LGQ11" s="28"/>
      <c r="LGR11" s="26"/>
      <c r="LGS11" s="26"/>
      <c r="LGU11" s="25"/>
      <c r="LGV11" s="26"/>
      <c r="LGW11" s="26"/>
      <c r="LGX11" s="27"/>
      <c r="LGY11" s="28"/>
      <c r="LGZ11" s="26"/>
      <c r="LHA11" s="26"/>
      <c r="LHC11" s="25"/>
      <c r="LHD11" s="26"/>
      <c r="LHE11" s="26"/>
      <c r="LHF11" s="27"/>
      <c r="LHG11" s="28"/>
      <c r="LHH11" s="26"/>
      <c r="LHI11" s="26"/>
      <c r="LHK11" s="25"/>
      <c r="LHL11" s="26"/>
      <c r="LHM11" s="26"/>
      <c r="LHN11" s="27"/>
      <c r="LHO11" s="28"/>
      <c r="LHP11" s="26"/>
      <c r="LHQ11" s="26"/>
      <c r="LHS11" s="25"/>
      <c r="LHT11" s="26"/>
      <c r="LHU11" s="26"/>
      <c r="LHV11" s="27"/>
      <c r="LHW11" s="28"/>
      <c r="LHX11" s="26"/>
      <c r="LHY11" s="26"/>
      <c r="LIA11" s="25"/>
      <c r="LIB11" s="26"/>
      <c r="LIC11" s="26"/>
      <c r="LID11" s="27"/>
      <c r="LIE11" s="28"/>
      <c r="LIF11" s="26"/>
      <c r="LIG11" s="26"/>
      <c r="LII11" s="25"/>
      <c r="LIJ11" s="26"/>
      <c r="LIK11" s="26"/>
      <c r="LIL11" s="27"/>
      <c r="LIM11" s="28"/>
      <c r="LIN11" s="26"/>
      <c r="LIO11" s="26"/>
      <c r="LIQ11" s="25"/>
      <c r="LIR11" s="26"/>
      <c r="LIS11" s="26"/>
      <c r="LIT11" s="27"/>
      <c r="LIU11" s="28"/>
      <c r="LIV11" s="26"/>
      <c r="LIW11" s="26"/>
      <c r="LIY11" s="25"/>
      <c r="LIZ11" s="26"/>
      <c r="LJA11" s="26"/>
      <c r="LJB11" s="27"/>
      <c r="LJC11" s="28"/>
      <c r="LJD11" s="26"/>
      <c r="LJE11" s="26"/>
      <c r="LJG11" s="25"/>
      <c r="LJH11" s="26"/>
      <c r="LJI11" s="26"/>
      <c r="LJJ11" s="27"/>
      <c r="LJK11" s="28"/>
      <c r="LJL11" s="26"/>
      <c r="LJM11" s="26"/>
      <c r="LJO11" s="25"/>
      <c r="LJP11" s="26"/>
      <c r="LJQ11" s="26"/>
      <c r="LJR11" s="27"/>
      <c r="LJS11" s="28"/>
      <c r="LJT11" s="26"/>
      <c r="LJU11" s="26"/>
      <c r="LJW11" s="25"/>
      <c r="LJX11" s="26"/>
      <c r="LJY11" s="26"/>
      <c r="LJZ11" s="27"/>
      <c r="LKA11" s="28"/>
      <c r="LKB11" s="26"/>
      <c r="LKC11" s="26"/>
      <c r="LKE11" s="25"/>
      <c r="LKF11" s="26"/>
      <c r="LKG11" s="26"/>
      <c r="LKH11" s="27"/>
      <c r="LKI11" s="28"/>
      <c r="LKJ11" s="26"/>
      <c r="LKK11" s="26"/>
      <c r="LKM11" s="25"/>
      <c r="LKN11" s="26"/>
      <c r="LKO11" s="26"/>
      <c r="LKP11" s="27"/>
      <c r="LKQ11" s="28"/>
      <c r="LKR11" s="26"/>
      <c r="LKS11" s="26"/>
      <c r="LKU11" s="25"/>
      <c r="LKV11" s="26"/>
      <c r="LKW11" s="26"/>
      <c r="LKX11" s="27"/>
      <c r="LKY11" s="28"/>
      <c r="LKZ11" s="26"/>
      <c r="LLA11" s="26"/>
      <c r="LLC11" s="25"/>
      <c r="LLD11" s="26"/>
      <c r="LLE11" s="26"/>
      <c r="LLF11" s="27"/>
      <c r="LLG11" s="28"/>
      <c r="LLH11" s="26"/>
      <c r="LLI11" s="26"/>
      <c r="LLK11" s="25"/>
      <c r="LLL11" s="26"/>
      <c r="LLM11" s="26"/>
      <c r="LLN11" s="27"/>
      <c r="LLO11" s="28"/>
      <c r="LLP11" s="26"/>
      <c r="LLQ11" s="26"/>
      <c r="LLS11" s="25"/>
      <c r="LLT11" s="26"/>
      <c r="LLU11" s="26"/>
      <c r="LLV11" s="27"/>
      <c r="LLW11" s="28"/>
      <c r="LLX11" s="26"/>
      <c r="LLY11" s="26"/>
      <c r="LMA11" s="25"/>
      <c r="LMB11" s="26"/>
      <c r="LMC11" s="26"/>
      <c r="LMD11" s="27"/>
      <c r="LME11" s="28"/>
      <c r="LMF11" s="26"/>
      <c r="LMG11" s="26"/>
      <c r="LMI11" s="25"/>
      <c r="LMJ11" s="26"/>
      <c r="LMK11" s="26"/>
      <c r="LML11" s="27"/>
      <c r="LMM11" s="28"/>
      <c r="LMN11" s="26"/>
      <c r="LMO11" s="26"/>
      <c r="LMQ11" s="25"/>
      <c r="LMR11" s="26"/>
      <c r="LMS11" s="26"/>
      <c r="LMT11" s="27"/>
      <c r="LMU11" s="28"/>
      <c r="LMV11" s="26"/>
      <c r="LMW11" s="26"/>
      <c r="LMY11" s="25"/>
      <c r="LMZ11" s="26"/>
      <c r="LNA11" s="26"/>
      <c r="LNB11" s="27"/>
      <c r="LNC11" s="28"/>
      <c r="LND11" s="26"/>
      <c r="LNE11" s="26"/>
      <c r="LNG11" s="25"/>
      <c r="LNH11" s="26"/>
      <c r="LNI11" s="26"/>
      <c r="LNJ11" s="27"/>
      <c r="LNK11" s="28"/>
      <c r="LNL11" s="26"/>
      <c r="LNM11" s="26"/>
      <c r="LNO11" s="25"/>
      <c r="LNP11" s="26"/>
      <c r="LNQ11" s="26"/>
      <c r="LNR11" s="27"/>
      <c r="LNS11" s="28"/>
      <c r="LNT11" s="26"/>
      <c r="LNU11" s="26"/>
      <c r="LNW11" s="25"/>
      <c r="LNX11" s="26"/>
      <c r="LNY11" s="26"/>
      <c r="LNZ11" s="27"/>
      <c r="LOA11" s="28"/>
      <c r="LOB11" s="26"/>
      <c r="LOC11" s="26"/>
      <c r="LOE11" s="25"/>
      <c r="LOF11" s="26"/>
      <c r="LOG11" s="26"/>
      <c r="LOH11" s="27"/>
      <c r="LOI11" s="28"/>
      <c r="LOJ11" s="26"/>
      <c r="LOK11" s="26"/>
      <c r="LOM11" s="25"/>
      <c r="LON11" s="26"/>
      <c r="LOO11" s="26"/>
      <c r="LOP11" s="27"/>
      <c r="LOQ11" s="28"/>
      <c r="LOR11" s="26"/>
      <c r="LOS11" s="26"/>
      <c r="LOU11" s="25"/>
      <c r="LOV11" s="26"/>
      <c r="LOW11" s="26"/>
      <c r="LOX11" s="27"/>
      <c r="LOY11" s="28"/>
      <c r="LOZ11" s="26"/>
      <c r="LPA11" s="26"/>
      <c r="LPC11" s="25"/>
      <c r="LPD11" s="26"/>
      <c r="LPE11" s="26"/>
      <c r="LPF11" s="27"/>
      <c r="LPG11" s="28"/>
      <c r="LPH11" s="26"/>
      <c r="LPI11" s="26"/>
      <c r="LPK11" s="25"/>
      <c r="LPL11" s="26"/>
      <c r="LPM11" s="26"/>
      <c r="LPN11" s="27"/>
      <c r="LPO11" s="28"/>
      <c r="LPP11" s="26"/>
      <c r="LPQ11" s="26"/>
      <c r="LPS11" s="25"/>
      <c r="LPT11" s="26"/>
      <c r="LPU11" s="26"/>
      <c r="LPV11" s="27"/>
      <c r="LPW11" s="28"/>
      <c r="LPX11" s="26"/>
      <c r="LPY11" s="26"/>
      <c r="LQA11" s="25"/>
      <c r="LQB11" s="26"/>
      <c r="LQC11" s="26"/>
      <c r="LQD11" s="27"/>
      <c r="LQE11" s="28"/>
      <c r="LQF11" s="26"/>
      <c r="LQG11" s="26"/>
      <c r="LQI11" s="25"/>
      <c r="LQJ11" s="26"/>
      <c r="LQK11" s="26"/>
      <c r="LQL11" s="27"/>
      <c r="LQM11" s="28"/>
      <c r="LQN11" s="26"/>
      <c r="LQO11" s="26"/>
      <c r="LQQ11" s="25"/>
      <c r="LQR11" s="26"/>
      <c r="LQS11" s="26"/>
      <c r="LQT11" s="27"/>
      <c r="LQU11" s="28"/>
      <c r="LQV11" s="26"/>
      <c r="LQW11" s="26"/>
      <c r="LQY11" s="25"/>
      <c r="LQZ11" s="26"/>
      <c r="LRA11" s="26"/>
      <c r="LRB11" s="27"/>
      <c r="LRC11" s="28"/>
      <c r="LRD11" s="26"/>
      <c r="LRE11" s="26"/>
      <c r="LRG11" s="25"/>
      <c r="LRH11" s="26"/>
      <c r="LRI11" s="26"/>
      <c r="LRJ11" s="27"/>
      <c r="LRK11" s="28"/>
      <c r="LRL11" s="26"/>
      <c r="LRM11" s="26"/>
      <c r="LRO11" s="25"/>
      <c r="LRP11" s="26"/>
      <c r="LRQ11" s="26"/>
      <c r="LRR11" s="27"/>
      <c r="LRS11" s="28"/>
      <c r="LRT11" s="26"/>
      <c r="LRU11" s="26"/>
      <c r="LRW11" s="25"/>
      <c r="LRX11" s="26"/>
      <c r="LRY11" s="26"/>
      <c r="LRZ11" s="27"/>
      <c r="LSA11" s="28"/>
      <c r="LSB11" s="26"/>
      <c r="LSC11" s="26"/>
      <c r="LSE11" s="25"/>
      <c r="LSF11" s="26"/>
      <c r="LSG11" s="26"/>
      <c r="LSH11" s="27"/>
      <c r="LSI11" s="28"/>
      <c r="LSJ11" s="26"/>
      <c r="LSK11" s="26"/>
      <c r="LSM11" s="25"/>
      <c r="LSN11" s="26"/>
      <c r="LSO11" s="26"/>
      <c r="LSP11" s="27"/>
      <c r="LSQ11" s="28"/>
      <c r="LSR11" s="26"/>
      <c r="LSS11" s="26"/>
      <c r="LSU11" s="25"/>
      <c r="LSV11" s="26"/>
      <c r="LSW11" s="26"/>
      <c r="LSX11" s="27"/>
      <c r="LSY11" s="28"/>
      <c r="LSZ11" s="26"/>
      <c r="LTA11" s="26"/>
      <c r="LTC11" s="25"/>
      <c r="LTD11" s="26"/>
      <c r="LTE11" s="26"/>
      <c r="LTF11" s="27"/>
      <c r="LTG11" s="28"/>
      <c r="LTH11" s="26"/>
      <c r="LTI11" s="26"/>
      <c r="LTK11" s="25"/>
      <c r="LTL11" s="26"/>
      <c r="LTM11" s="26"/>
      <c r="LTN11" s="27"/>
      <c r="LTO11" s="28"/>
      <c r="LTP11" s="26"/>
      <c r="LTQ11" s="26"/>
      <c r="LTS11" s="25"/>
      <c r="LTT11" s="26"/>
      <c r="LTU11" s="26"/>
      <c r="LTV11" s="27"/>
      <c r="LTW11" s="28"/>
      <c r="LTX11" s="26"/>
      <c r="LTY11" s="26"/>
      <c r="LUA11" s="25"/>
      <c r="LUB11" s="26"/>
      <c r="LUC11" s="26"/>
      <c r="LUD11" s="27"/>
      <c r="LUE11" s="28"/>
      <c r="LUF11" s="26"/>
      <c r="LUG11" s="26"/>
      <c r="LUI11" s="25"/>
      <c r="LUJ11" s="26"/>
      <c r="LUK11" s="26"/>
      <c r="LUL11" s="27"/>
      <c r="LUM11" s="28"/>
      <c r="LUN11" s="26"/>
      <c r="LUO11" s="26"/>
      <c r="LUQ11" s="25"/>
      <c r="LUR11" s="26"/>
      <c r="LUS11" s="26"/>
      <c r="LUT11" s="27"/>
      <c r="LUU11" s="28"/>
      <c r="LUV11" s="26"/>
      <c r="LUW11" s="26"/>
      <c r="LUY11" s="25"/>
      <c r="LUZ11" s="26"/>
      <c r="LVA11" s="26"/>
      <c r="LVB11" s="27"/>
      <c r="LVC11" s="28"/>
      <c r="LVD11" s="26"/>
      <c r="LVE11" s="26"/>
      <c r="LVG11" s="25"/>
      <c r="LVH11" s="26"/>
      <c r="LVI11" s="26"/>
      <c r="LVJ11" s="27"/>
      <c r="LVK11" s="28"/>
      <c r="LVL11" s="26"/>
      <c r="LVM11" s="26"/>
      <c r="LVO11" s="25"/>
      <c r="LVP11" s="26"/>
      <c r="LVQ11" s="26"/>
      <c r="LVR11" s="27"/>
      <c r="LVS11" s="28"/>
      <c r="LVT11" s="26"/>
      <c r="LVU11" s="26"/>
      <c r="LVW11" s="25"/>
      <c r="LVX11" s="26"/>
      <c r="LVY11" s="26"/>
      <c r="LVZ11" s="27"/>
      <c r="LWA11" s="28"/>
      <c r="LWB11" s="26"/>
      <c r="LWC11" s="26"/>
      <c r="LWE11" s="25"/>
      <c r="LWF11" s="26"/>
      <c r="LWG11" s="26"/>
      <c r="LWH11" s="27"/>
      <c r="LWI11" s="28"/>
      <c r="LWJ11" s="26"/>
      <c r="LWK11" s="26"/>
      <c r="LWM11" s="25"/>
      <c r="LWN11" s="26"/>
      <c r="LWO11" s="26"/>
      <c r="LWP11" s="27"/>
      <c r="LWQ11" s="28"/>
      <c r="LWR11" s="26"/>
      <c r="LWS11" s="26"/>
      <c r="LWU11" s="25"/>
      <c r="LWV11" s="26"/>
      <c r="LWW11" s="26"/>
      <c r="LWX11" s="27"/>
      <c r="LWY11" s="28"/>
      <c r="LWZ11" s="26"/>
      <c r="LXA11" s="26"/>
      <c r="LXC11" s="25"/>
      <c r="LXD11" s="26"/>
      <c r="LXE11" s="26"/>
      <c r="LXF11" s="27"/>
      <c r="LXG11" s="28"/>
      <c r="LXH11" s="26"/>
      <c r="LXI11" s="26"/>
      <c r="LXK11" s="25"/>
      <c r="LXL11" s="26"/>
      <c r="LXM11" s="26"/>
      <c r="LXN11" s="27"/>
      <c r="LXO11" s="28"/>
      <c r="LXP11" s="26"/>
      <c r="LXQ11" s="26"/>
      <c r="LXS11" s="25"/>
      <c r="LXT11" s="26"/>
      <c r="LXU11" s="26"/>
      <c r="LXV11" s="27"/>
      <c r="LXW11" s="28"/>
      <c r="LXX11" s="26"/>
      <c r="LXY11" s="26"/>
      <c r="LYA11" s="25"/>
      <c r="LYB11" s="26"/>
      <c r="LYC11" s="26"/>
      <c r="LYD11" s="27"/>
      <c r="LYE11" s="28"/>
      <c r="LYF11" s="26"/>
      <c r="LYG11" s="26"/>
      <c r="LYI11" s="25"/>
      <c r="LYJ11" s="26"/>
      <c r="LYK11" s="26"/>
      <c r="LYL11" s="27"/>
      <c r="LYM11" s="28"/>
      <c r="LYN11" s="26"/>
      <c r="LYO11" s="26"/>
      <c r="LYQ11" s="25"/>
      <c r="LYR11" s="26"/>
      <c r="LYS11" s="26"/>
      <c r="LYT11" s="27"/>
      <c r="LYU11" s="28"/>
      <c r="LYV11" s="26"/>
      <c r="LYW11" s="26"/>
      <c r="LYY11" s="25"/>
      <c r="LYZ11" s="26"/>
      <c r="LZA11" s="26"/>
      <c r="LZB11" s="27"/>
      <c r="LZC11" s="28"/>
      <c r="LZD11" s="26"/>
      <c r="LZE11" s="26"/>
      <c r="LZG11" s="25"/>
      <c r="LZH11" s="26"/>
      <c r="LZI11" s="26"/>
      <c r="LZJ11" s="27"/>
      <c r="LZK11" s="28"/>
      <c r="LZL11" s="26"/>
      <c r="LZM11" s="26"/>
      <c r="LZO11" s="25"/>
      <c r="LZP11" s="26"/>
      <c r="LZQ11" s="26"/>
      <c r="LZR11" s="27"/>
      <c r="LZS11" s="28"/>
      <c r="LZT11" s="26"/>
      <c r="LZU11" s="26"/>
      <c r="LZW11" s="25"/>
      <c r="LZX11" s="26"/>
      <c r="LZY11" s="26"/>
      <c r="LZZ11" s="27"/>
      <c r="MAA11" s="28"/>
      <c r="MAB11" s="26"/>
      <c r="MAC11" s="26"/>
      <c r="MAE11" s="25"/>
      <c r="MAF11" s="26"/>
      <c r="MAG11" s="26"/>
      <c r="MAH11" s="27"/>
      <c r="MAI11" s="28"/>
      <c r="MAJ11" s="26"/>
      <c r="MAK11" s="26"/>
      <c r="MAM11" s="25"/>
      <c r="MAN11" s="26"/>
      <c r="MAO11" s="26"/>
      <c r="MAP11" s="27"/>
      <c r="MAQ11" s="28"/>
      <c r="MAR11" s="26"/>
      <c r="MAS11" s="26"/>
      <c r="MAU11" s="25"/>
      <c r="MAV11" s="26"/>
      <c r="MAW11" s="26"/>
      <c r="MAX11" s="27"/>
      <c r="MAY11" s="28"/>
      <c r="MAZ11" s="26"/>
      <c r="MBA11" s="26"/>
      <c r="MBC11" s="25"/>
      <c r="MBD11" s="26"/>
      <c r="MBE11" s="26"/>
      <c r="MBF11" s="27"/>
      <c r="MBG11" s="28"/>
      <c r="MBH11" s="26"/>
      <c r="MBI11" s="26"/>
      <c r="MBK11" s="25"/>
      <c r="MBL11" s="26"/>
      <c r="MBM11" s="26"/>
      <c r="MBN11" s="27"/>
      <c r="MBO11" s="28"/>
      <c r="MBP11" s="26"/>
      <c r="MBQ11" s="26"/>
      <c r="MBS11" s="25"/>
      <c r="MBT11" s="26"/>
      <c r="MBU11" s="26"/>
      <c r="MBV11" s="27"/>
      <c r="MBW11" s="28"/>
      <c r="MBX11" s="26"/>
      <c r="MBY11" s="26"/>
      <c r="MCA11" s="25"/>
      <c r="MCB11" s="26"/>
      <c r="MCC11" s="26"/>
      <c r="MCD11" s="27"/>
      <c r="MCE11" s="28"/>
      <c r="MCF11" s="26"/>
      <c r="MCG11" s="26"/>
      <c r="MCI11" s="25"/>
      <c r="MCJ11" s="26"/>
      <c r="MCK11" s="26"/>
      <c r="MCL11" s="27"/>
      <c r="MCM11" s="28"/>
      <c r="MCN11" s="26"/>
      <c r="MCO11" s="26"/>
      <c r="MCQ11" s="25"/>
      <c r="MCR11" s="26"/>
      <c r="MCS11" s="26"/>
      <c r="MCT11" s="27"/>
      <c r="MCU11" s="28"/>
      <c r="MCV11" s="26"/>
      <c r="MCW11" s="26"/>
      <c r="MCY11" s="25"/>
      <c r="MCZ11" s="26"/>
      <c r="MDA11" s="26"/>
      <c r="MDB11" s="27"/>
      <c r="MDC11" s="28"/>
      <c r="MDD11" s="26"/>
      <c r="MDE11" s="26"/>
      <c r="MDG11" s="25"/>
      <c r="MDH11" s="26"/>
      <c r="MDI11" s="26"/>
      <c r="MDJ11" s="27"/>
      <c r="MDK11" s="28"/>
      <c r="MDL11" s="26"/>
      <c r="MDM11" s="26"/>
      <c r="MDO11" s="25"/>
      <c r="MDP11" s="26"/>
      <c r="MDQ11" s="26"/>
      <c r="MDR11" s="27"/>
      <c r="MDS11" s="28"/>
      <c r="MDT11" s="26"/>
      <c r="MDU11" s="26"/>
      <c r="MDW11" s="25"/>
      <c r="MDX11" s="26"/>
      <c r="MDY11" s="26"/>
      <c r="MDZ11" s="27"/>
      <c r="MEA11" s="28"/>
      <c r="MEB11" s="26"/>
      <c r="MEC11" s="26"/>
      <c r="MEE11" s="25"/>
      <c r="MEF11" s="26"/>
      <c r="MEG11" s="26"/>
      <c r="MEH11" s="27"/>
      <c r="MEI11" s="28"/>
      <c r="MEJ11" s="26"/>
      <c r="MEK11" s="26"/>
      <c r="MEM11" s="25"/>
      <c r="MEN11" s="26"/>
      <c r="MEO11" s="26"/>
      <c r="MEP11" s="27"/>
      <c r="MEQ11" s="28"/>
      <c r="MER11" s="26"/>
      <c r="MES11" s="26"/>
      <c r="MEU11" s="25"/>
      <c r="MEV11" s="26"/>
      <c r="MEW11" s="26"/>
      <c r="MEX11" s="27"/>
      <c r="MEY11" s="28"/>
      <c r="MEZ11" s="26"/>
      <c r="MFA11" s="26"/>
      <c r="MFC11" s="25"/>
      <c r="MFD11" s="26"/>
      <c r="MFE11" s="26"/>
      <c r="MFF11" s="27"/>
      <c r="MFG11" s="28"/>
      <c r="MFH11" s="26"/>
      <c r="MFI11" s="26"/>
      <c r="MFK11" s="25"/>
      <c r="MFL11" s="26"/>
      <c r="MFM11" s="26"/>
      <c r="MFN11" s="27"/>
      <c r="MFO11" s="28"/>
      <c r="MFP11" s="26"/>
      <c r="MFQ11" s="26"/>
      <c r="MFS11" s="25"/>
      <c r="MFT11" s="26"/>
      <c r="MFU11" s="26"/>
      <c r="MFV11" s="27"/>
      <c r="MFW11" s="28"/>
      <c r="MFX11" s="26"/>
      <c r="MFY11" s="26"/>
      <c r="MGA11" s="25"/>
      <c r="MGB11" s="26"/>
      <c r="MGC11" s="26"/>
      <c r="MGD11" s="27"/>
      <c r="MGE11" s="28"/>
      <c r="MGF11" s="26"/>
      <c r="MGG11" s="26"/>
      <c r="MGI11" s="25"/>
      <c r="MGJ11" s="26"/>
      <c r="MGK11" s="26"/>
      <c r="MGL11" s="27"/>
      <c r="MGM11" s="28"/>
      <c r="MGN11" s="26"/>
      <c r="MGO11" s="26"/>
      <c r="MGQ11" s="25"/>
      <c r="MGR11" s="26"/>
      <c r="MGS11" s="26"/>
      <c r="MGT11" s="27"/>
      <c r="MGU11" s="28"/>
      <c r="MGV11" s="26"/>
      <c r="MGW11" s="26"/>
      <c r="MGY11" s="25"/>
      <c r="MGZ11" s="26"/>
      <c r="MHA11" s="26"/>
      <c r="MHB11" s="27"/>
      <c r="MHC11" s="28"/>
      <c r="MHD11" s="26"/>
      <c r="MHE11" s="26"/>
      <c r="MHG11" s="25"/>
      <c r="MHH11" s="26"/>
      <c r="MHI11" s="26"/>
      <c r="MHJ11" s="27"/>
      <c r="MHK11" s="28"/>
      <c r="MHL11" s="26"/>
      <c r="MHM11" s="26"/>
      <c r="MHO11" s="25"/>
      <c r="MHP11" s="26"/>
      <c r="MHQ11" s="26"/>
      <c r="MHR11" s="27"/>
      <c r="MHS11" s="28"/>
      <c r="MHT11" s="26"/>
      <c r="MHU11" s="26"/>
      <c r="MHW11" s="25"/>
      <c r="MHX11" s="26"/>
      <c r="MHY11" s="26"/>
      <c r="MHZ11" s="27"/>
      <c r="MIA11" s="28"/>
      <c r="MIB11" s="26"/>
      <c r="MIC11" s="26"/>
      <c r="MIE11" s="25"/>
      <c r="MIF11" s="26"/>
      <c r="MIG11" s="26"/>
      <c r="MIH11" s="27"/>
      <c r="MII11" s="28"/>
      <c r="MIJ11" s="26"/>
      <c r="MIK11" s="26"/>
      <c r="MIM11" s="25"/>
      <c r="MIN11" s="26"/>
      <c r="MIO11" s="26"/>
      <c r="MIP11" s="27"/>
      <c r="MIQ11" s="28"/>
      <c r="MIR11" s="26"/>
      <c r="MIS11" s="26"/>
      <c r="MIU11" s="25"/>
      <c r="MIV11" s="26"/>
      <c r="MIW11" s="26"/>
      <c r="MIX11" s="27"/>
      <c r="MIY11" s="28"/>
      <c r="MIZ11" s="26"/>
      <c r="MJA11" s="26"/>
      <c r="MJC11" s="25"/>
      <c r="MJD11" s="26"/>
      <c r="MJE11" s="26"/>
      <c r="MJF11" s="27"/>
      <c r="MJG11" s="28"/>
      <c r="MJH11" s="26"/>
      <c r="MJI11" s="26"/>
      <c r="MJK11" s="25"/>
      <c r="MJL11" s="26"/>
      <c r="MJM11" s="26"/>
      <c r="MJN11" s="27"/>
      <c r="MJO11" s="28"/>
      <c r="MJP11" s="26"/>
      <c r="MJQ11" s="26"/>
      <c r="MJS11" s="25"/>
      <c r="MJT11" s="26"/>
      <c r="MJU11" s="26"/>
      <c r="MJV11" s="27"/>
      <c r="MJW11" s="28"/>
      <c r="MJX11" s="26"/>
      <c r="MJY11" s="26"/>
      <c r="MKA11" s="25"/>
      <c r="MKB11" s="26"/>
      <c r="MKC11" s="26"/>
      <c r="MKD11" s="27"/>
      <c r="MKE11" s="28"/>
      <c r="MKF11" s="26"/>
      <c r="MKG11" s="26"/>
      <c r="MKI11" s="25"/>
      <c r="MKJ11" s="26"/>
      <c r="MKK11" s="26"/>
      <c r="MKL11" s="27"/>
      <c r="MKM11" s="28"/>
      <c r="MKN11" s="26"/>
      <c r="MKO11" s="26"/>
      <c r="MKQ11" s="25"/>
      <c r="MKR11" s="26"/>
      <c r="MKS11" s="26"/>
      <c r="MKT11" s="27"/>
      <c r="MKU11" s="28"/>
      <c r="MKV11" s="26"/>
      <c r="MKW11" s="26"/>
      <c r="MKY11" s="25"/>
      <c r="MKZ11" s="26"/>
      <c r="MLA11" s="26"/>
      <c r="MLB11" s="27"/>
      <c r="MLC11" s="28"/>
      <c r="MLD11" s="26"/>
      <c r="MLE11" s="26"/>
      <c r="MLG11" s="25"/>
      <c r="MLH11" s="26"/>
      <c r="MLI11" s="26"/>
      <c r="MLJ11" s="27"/>
      <c r="MLK11" s="28"/>
      <c r="MLL11" s="26"/>
      <c r="MLM11" s="26"/>
      <c r="MLO11" s="25"/>
      <c r="MLP11" s="26"/>
      <c r="MLQ11" s="26"/>
      <c r="MLR11" s="27"/>
      <c r="MLS11" s="28"/>
      <c r="MLT11" s="26"/>
      <c r="MLU11" s="26"/>
      <c r="MLW11" s="25"/>
      <c r="MLX11" s="26"/>
      <c r="MLY11" s="26"/>
      <c r="MLZ11" s="27"/>
      <c r="MMA11" s="28"/>
      <c r="MMB11" s="26"/>
      <c r="MMC11" s="26"/>
      <c r="MME11" s="25"/>
      <c r="MMF11" s="26"/>
      <c r="MMG11" s="26"/>
      <c r="MMH11" s="27"/>
      <c r="MMI11" s="28"/>
      <c r="MMJ11" s="26"/>
      <c r="MMK11" s="26"/>
      <c r="MMM11" s="25"/>
      <c r="MMN11" s="26"/>
      <c r="MMO11" s="26"/>
      <c r="MMP11" s="27"/>
      <c r="MMQ11" s="28"/>
      <c r="MMR11" s="26"/>
      <c r="MMS11" s="26"/>
      <c r="MMU11" s="25"/>
      <c r="MMV11" s="26"/>
      <c r="MMW11" s="26"/>
      <c r="MMX11" s="27"/>
      <c r="MMY11" s="28"/>
      <c r="MMZ11" s="26"/>
      <c r="MNA11" s="26"/>
      <c r="MNC11" s="25"/>
      <c r="MND11" s="26"/>
      <c r="MNE11" s="26"/>
      <c r="MNF11" s="27"/>
      <c r="MNG11" s="28"/>
      <c r="MNH11" s="26"/>
      <c r="MNI11" s="26"/>
      <c r="MNK11" s="25"/>
      <c r="MNL11" s="26"/>
      <c r="MNM11" s="26"/>
      <c r="MNN11" s="27"/>
      <c r="MNO11" s="28"/>
      <c r="MNP11" s="26"/>
      <c r="MNQ11" s="26"/>
      <c r="MNS11" s="25"/>
      <c r="MNT11" s="26"/>
      <c r="MNU11" s="26"/>
      <c r="MNV11" s="27"/>
      <c r="MNW11" s="28"/>
      <c r="MNX11" s="26"/>
      <c r="MNY11" s="26"/>
      <c r="MOA11" s="25"/>
      <c r="MOB11" s="26"/>
      <c r="MOC11" s="26"/>
      <c r="MOD11" s="27"/>
      <c r="MOE11" s="28"/>
      <c r="MOF11" s="26"/>
      <c r="MOG11" s="26"/>
      <c r="MOI11" s="25"/>
      <c r="MOJ11" s="26"/>
      <c r="MOK11" s="26"/>
      <c r="MOL11" s="27"/>
      <c r="MOM11" s="28"/>
      <c r="MON11" s="26"/>
      <c r="MOO11" s="26"/>
      <c r="MOQ11" s="25"/>
      <c r="MOR11" s="26"/>
      <c r="MOS11" s="26"/>
      <c r="MOT11" s="27"/>
      <c r="MOU11" s="28"/>
      <c r="MOV11" s="26"/>
      <c r="MOW11" s="26"/>
      <c r="MOY11" s="25"/>
      <c r="MOZ11" s="26"/>
      <c r="MPA11" s="26"/>
      <c r="MPB11" s="27"/>
      <c r="MPC11" s="28"/>
      <c r="MPD11" s="26"/>
      <c r="MPE11" s="26"/>
      <c r="MPG11" s="25"/>
      <c r="MPH11" s="26"/>
      <c r="MPI11" s="26"/>
      <c r="MPJ11" s="27"/>
      <c r="MPK11" s="28"/>
      <c r="MPL11" s="26"/>
      <c r="MPM11" s="26"/>
      <c r="MPO11" s="25"/>
      <c r="MPP11" s="26"/>
      <c r="MPQ11" s="26"/>
      <c r="MPR11" s="27"/>
      <c r="MPS11" s="28"/>
      <c r="MPT11" s="26"/>
      <c r="MPU11" s="26"/>
      <c r="MPW11" s="25"/>
      <c r="MPX11" s="26"/>
      <c r="MPY11" s="26"/>
      <c r="MPZ11" s="27"/>
      <c r="MQA11" s="28"/>
      <c r="MQB11" s="26"/>
      <c r="MQC11" s="26"/>
      <c r="MQE11" s="25"/>
      <c r="MQF11" s="26"/>
      <c r="MQG11" s="26"/>
      <c r="MQH11" s="27"/>
      <c r="MQI11" s="28"/>
      <c r="MQJ11" s="26"/>
      <c r="MQK11" s="26"/>
      <c r="MQM11" s="25"/>
      <c r="MQN11" s="26"/>
      <c r="MQO11" s="26"/>
      <c r="MQP11" s="27"/>
      <c r="MQQ11" s="28"/>
      <c r="MQR11" s="26"/>
      <c r="MQS11" s="26"/>
      <c r="MQU11" s="25"/>
      <c r="MQV11" s="26"/>
      <c r="MQW11" s="26"/>
      <c r="MQX11" s="27"/>
      <c r="MQY11" s="28"/>
      <c r="MQZ11" s="26"/>
      <c r="MRA11" s="26"/>
      <c r="MRC11" s="25"/>
      <c r="MRD11" s="26"/>
      <c r="MRE11" s="26"/>
      <c r="MRF11" s="27"/>
      <c r="MRG11" s="28"/>
      <c r="MRH11" s="26"/>
      <c r="MRI11" s="26"/>
      <c r="MRK11" s="25"/>
      <c r="MRL11" s="26"/>
      <c r="MRM11" s="26"/>
      <c r="MRN11" s="27"/>
      <c r="MRO11" s="28"/>
      <c r="MRP11" s="26"/>
      <c r="MRQ11" s="26"/>
      <c r="MRS11" s="25"/>
      <c r="MRT11" s="26"/>
      <c r="MRU11" s="26"/>
      <c r="MRV11" s="27"/>
      <c r="MRW11" s="28"/>
      <c r="MRX11" s="26"/>
      <c r="MRY11" s="26"/>
      <c r="MSA11" s="25"/>
      <c r="MSB11" s="26"/>
      <c r="MSC11" s="26"/>
      <c r="MSD11" s="27"/>
      <c r="MSE11" s="28"/>
      <c r="MSF11" s="26"/>
      <c r="MSG11" s="26"/>
      <c r="MSI11" s="25"/>
      <c r="MSJ11" s="26"/>
      <c r="MSK11" s="26"/>
      <c r="MSL11" s="27"/>
      <c r="MSM11" s="28"/>
      <c r="MSN11" s="26"/>
      <c r="MSO11" s="26"/>
      <c r="MSQ11" s="25"/>
      <c r="MSR11" s="26"/>
      <c r="MSS11" s="26"/>
      <c r="MST11" s="27"/>
      <c r="MSU11" s="28"/>
      <c r="MSV11" s="26"/>
      <c r="MSW11" s="26"/>
      <c r="MSY11" s="25"/>
      <c r="MSZ11" s="26"/>
      <c r="MTA11" s="26"/>
      <c r="MTB11" s="27"/>
      <c r="MTC11" s="28"/>
      <c r="MTD11" s="26"/>
      <c r="MTE11" s="26"/>
      <c r="MTG11" s="25"/>
      <c r="MTH11" s="26"/>
      <c r="MTI11" s="26"/>
      <c r="MTJ11" s="27"/>
      <c r="MTK11" s="28"/>
      <c r="MTL11" s="26"/>
      <c r="MTM11" s="26"/>
      <c r="MTO11" s="25"/>
      <c r="MTP11" s="26"/>
      <c r="MTQ11" s="26"/>
      <c r="MTR11" s="27"/>
      <c r="MTS11" s="28"/>
      <c r="MTT11" s="26"/>
      <c r="MTU11" s="26"/>
      <c r="MTW11" s="25"/>
      <c r="MTX11" s="26"/>
      <c r="MTY11" s="26"/>
      <c r="MTZ11" s="27"/>
      <c r="MUA11" s="28"/>
      <c r="MUB11" s="26"/>
      <c r="MUC11" s="26"/>
      <c r="MUE11" s="25"/>
      <c r="MUF11" s="26"/>
      <c r="MUG11" s="26"/>
      <c r="MUH11" s="27"/>
      <c r="MUI11" s="28"/>
      <c r="MUJ11" s="26"/>
      <c r="MUK11" s="26"/>
      <c r="MUM11" s="25"/>
      <c r="MUN11" s="26"/>
      <c r="MUO11" s="26"/>
      <c r="MUP11" s="27"/>
      <c r="MUQ11" s="28"/>
      <c r="MUR11" s="26"/>
      <c r="MUS11" s="26"/>
      <c r="MUU11" s="25"/>
      <c r="MUV11" s="26"/>
      <c r="MUW11" s="26"/>
      <c r="MUX11" s="27"/>
      <c r="MUY11" s="28"/>
      <c r="MUZ11" s="26"/>
      <c r="MVA11" s="26"/>
      <c r="MVC11" s="25"/>
      <c r="MVD11" s="26"/>
      <c r="MVE11" s="26"/>
      <c r="MVF11" s="27"/>
      <c r="MVG11" s="28"/>
      <c r="MVH11" s="26"/>
      <c r="MVI11" s="26"/>
      <c r="MVK11" s="25"/>
      <c r="MVL11" s="26"/>
      <c r="MVM11" s="26"/>
      <c r="MVN11" s="27"/>
      <c r="MVO11" s="28"/>
      <c r="MVP11" s="26"/>
      <c r="MVQ11" s="26"/>
      <c r="MVS11" s="25"/>
      <c r="MVT11" s="26"/>
      <c r="MVU11" s="26"/>
      <c r="MVV11" s="27"/>
      <c r="MVW11" s="28"/>
      <c r="MVX11" s="26"/>
      <c r="MVY11" s="26"/>
      <c r="MWA11" s="25"/>
      <c r="MWB11" s="26"/>
      <c r="MWC11" s="26"/>
      <c r="MWD11" s="27"/>
      <c r="MWE11" s="28"/>
      <c r="MWF11" s="26"/>
      <c r="MWG11" s="26"/>
      <c r="MWI11" s="25"/>
      <c r="MWJ11" s="26"/>
      <c r="MWK11" s="26"/>
      <c r="MWL11" s="27"/>
      <c r="MWM11" s="28"/>
      <c r="MWN11" s="26"/>
      <c r="MWO11" s="26"/>
      <c r="MWQ11" s="25"/>
      <c r="MWR11" s="26"/>
      <c r="MWS11" s="26"/>
      <c r="MWT11" s="27"/>
      <c r="MWU11" s="28"/>
      <c r="MWV11" s="26"/>
      <c r="MWW11" s="26"/>
      <c r="MWY11" s="25"/>
      <c r="MWZ11" s="26"/>
      <c r="MXA11" s="26"/>
      <c r="MXB11" s="27"/>
      <c r="MXC11" s="28"/>
      <c r="MXD11" s="26"/>
      <c r="MXE11" s="26"/>
      <c r="MXG11" s="25"/>
      <c r="MXH11" s="26"/>
      <c r="MXI11" s="26"/>
      <c r="MXJ11" s="27"/>
      <c r="MXK11" s="28"/>
      <c r="MXL11" s="26"/>
      <c r="MXM11" s="26"/>
      <c r="MXO11" s="25"/>
      <c r="MXP11" s="26"/>
      <c r="MXQ11" s="26"/>
      <c r="MXR11" s="27"/>
      <c r="MXS11" s="28"/>
      <c r="MXT11" s="26"/>
      <c r="MXU11" s="26"/>
      <c r="MXW11" s="25"/>
      <c r="MXX11" s="26"/>
      <c r="MXY11" s="26"/>
      <c r="MXZ11" s="27"/>
      <c r="MYA11" s="28"/>
      <c r="MYB11" s="26"/>
      <c r="MYC11" s="26"/>
      <c r="MYE11" s="25"/>
      <c r="MYF11" s="26"/>
      <c r="MYG11" s="26"/>
      <c r="MYH11" s="27"/>
      <c r="MYI11" s="28"/>
      <c r="MYJ11" s="26"/>
      <c r="MYK11" s="26"/>
      <c r="MYM11" s="25"/>
      <c r="MYN11" s="26"/>
      <c r="MYO11" s="26"/>
      <c r="MYP11" s="27"/>
      <c r="MYQ11" s="28"/>
      <c r="MYR11" s="26"/>
      <c r="MYS11" s="26"/>
      <c r="MYU11" s="25"/>
      <c r="MYV11" s="26"/>
      <c r="MYW11" s="26"/>
      <c r="MYX11" s="27"/>
      <c r="MYY11" s="28"/>
      <c r="MYZ11" s="26"/>
      <c r="MZA11" s="26"/>
      <c r="MZC11" s="25"/>
      <c r="MZD11" s="26"/>
      <c r="MZE11" s="26"/>
      <c r="MZF11" s="27"/>
      <c r="MZG11" s="28"/>
      <c r="MZH11" s="26"/>
      <c r="MZI11" s="26"/>
      <c r="MZK11" s="25"/>
      <c r="MZL11" s="26"/>
      <c r="MZM11" s="26"/>
      <c r="MZN11" s="27"/>
      <c r="MZO11" s="28"/>
      <c r="MZP11" s="26"/>
      <c r="MZQ11" s="26"/>
      <c r="MZS11" s="25"/>
      <c r="MZT11" s="26"/>
      <c r="MZU11" s="26"/>
      <c r="MZV11" s="27"/>
      <c r="MZW11" s="28"/>
      <c r="MZX11" s="26"/>
      <c r="MZY11" s="26"/>
      <c r="NAA11" s="25"/>
      <c r="NAB11" s="26"/>
      <c r="NAC11" s="26"/>
      <c r="NAD11" s="27"/>
      <c r="NAE11" s="28"/>
      <c r="NAF11" s="26"/>
      <c r="NAG11" s="26"/>
      <c r="NAI11" s="25"/>
      <c r="NAJ11" s="26"/>
      <c r="NAK11" s="26"/>
      <c r="NAL11" s="27"/>
      <c r="NAM11" s="28"/>
      <c r="NAN11" s="26"/>
      <c r="NAO11" s="26"/>
      <c r="NAQ11" s="25"/>
      <c r="NAR11" s="26"/>
      <c r="NAS11" s="26"/>
      <c r="NAT11" s="27"/>
      <c r="NAU11" s="28"/>
      <c r="NAV11" s="26"/>
      <c r="NAW11" s="26"/>
      <c r="NAY11" s="25"/>
      <c r="NAZ11" s="26"/>
      <c r="NBA11" s="26"/>
      <c r="NBB11" s="27"/>
      <c r="NBC11" s="28"/>
      <c r="NBD11" s="26"/>
      <c r="NBE11" s="26"/>
      <c r="NBG11" s="25"/>
      <c r="NBH11" s="26"/>
      <c r="NBI11" s="26"/>
      <c r="NBJ11" s="27"/>
      <c r="NBK11" s="28"/>
      <c r="NBL11" s="26"/>
      <c r="NBM11" s="26"/>
      <c r="NBO11" s="25"/>
      <c r="NBP11" s="26"/>
      <c r="NBQ11" s="26"/>
      <c r="NBR11" s="27"/>
      <c r="NBS11" s="28"/>
      <c r="NBT11" s="26"/>
      <c r="NBU11" s="26"/>
      <c r="NBW11" s="25"/>
      <c r="NBX11" s="26"/>
      <c r="NBY11" s="26"/>
      <c r="NBZ11" s="27"/>
      <c r="NCA11" s="28"/>
      <c r="NCB11" s="26"/>
      <c r="NCC11" s="26"/>
      <c r="NCE11" s="25"/>
      <c r="NCF11" s="26"/>
      <c r="NCG11" s="26"/>
      <c r="NCH11" s="27"/>
      <c r="NCI11" s="28"/>
      <c r="NCJ11" s="26"/>
      <c r="NCK11" s="26"/>
      <c r="NCM11" s="25"/>
      <c r="NCN11" s="26"/>
      <c r="NCO11" s="26"/>
      <c r="NCP11" s="27"/>
      <c r="NCQ11" s="28"/>
      <c r="NCR11" s="26"/>
      <c r="NCS11" s="26"/>
      <c r="NCU11" s="25"/>
      <c r="NCV11" s="26"/>
      <c r="NCW11" s="26"/>
      <c r="NCX11" s="27"/>
      <c r="NCY11" s="28"/>
      <c r="NCZ11" s="26"/>
      <c r="NDA11" s="26"/>
      <c r="NDC11" s="25"/>
      <c r="NDD11" s="26"/>
      <c r="NDE11" s="26"/>
      <c r="NDF11" s="27"/>
      <c r="NDG11" s="28"/>
      <c r="NDH11" s="26"/>
      <c r="NDI11" s="26"/>
      <c r="NDK11" s="25"/>
      <c r="NDL11" s="26"/>
      <c r="NDM11" s="26"/>
      <c r="NDN11" s="27"/>
      <c r="NDO11" s="28"/>
      <c r="NDP11" s="26"/>
      <c r="NDQ11" s="26"/>
      <c r="NDS11" s="25"/>
      <c r="NDT11" s="26"/>
      <c r="NDU11" s="26"/>
      <c r="NDV11" s="27"/>
      <c r="NDW11" s="28"/>
      <c r="NDX11" s="26"/>
      <c r="NDY11" s="26"/>
      <c r="NEA11" s="25"/>
      <c r="NEB11" s="26"/>
      <c r="NEC11" s="26"/>
      <c r="NED11" s="27"/>
      <c r="NEE11" s="28"/>
      <c r="NEF11" s="26"/>
      <c r="NEG11" s="26"/>
      <c r="NEI11" s="25"/>
      <c r="NEJ11" s="26"/>
      <c r="NEK11" s="26"/>
      <c r="NEL11" s="27"/>
      <c r="NEM11" s="28"/>
      <c r="NEN11" s="26"/>
      <c r="NEO11" s="26"/>
      <c r="NEQ11" s="25"/>
      <c r="NER11" s="26"/>
      <c r="NES11" s="26"/>
      <c r="NET11" s="27"/>
      <c r="NEU11" s="28"/>
      <c r="NEV11" s="26"/>
      <c r="NEW11" s="26"/>
      <c r="NEY11" s="25"/>
      <c r="NEZ11" s="26"/>
      <c r="NFA11" s="26"/>
      <c r="NFB11" s="27"/>
      <c r="NFC11" s="28"/>
      <c r="NFD11" s="26"/>
      <c r="NFE11" s="26"/>
      <c r="NFG11" s="25"/>
      <c r="NFH11" s="26"/>
      <c r="NFI11" s="26"/>
      <c r="NFJ11" s="27"/>
      <c r="NFK11" s="28"/>
      <c r="NFL11" s="26"/>
      <c r="NFM11" s="26"/>
      <c r="NFO11" s="25"/>
      <c r="NFP11" s="26"/>
      <c r="NFQ11" s="26"/>
      <c r="NFR11" s="27"/>
      <c r="NFS11" s="28"/>
      <c r="NFT11" s="26"/>
      <c r="NFU11" s="26"/>
      <c r="NFW11" s="25"/>
      <c r="NFX11" s="26"/>
      <c r="NFY11" s="26"/>
      <c r="NFZ11" s="27"/>
      <c r="NGA11" s="28"/>
      <c r="NGB11" s="26"/>
      <c r="NGC11" s="26"/>
      <c r="NGE11" s="25"/>
      <c r="NGF11" s="26"/>
      <c r="NGG11" s="26"/>
      <c r="NGH11" s="27"/>
      <c r="NGI11" s="28"/>
      <c r="NGJ11" s="26"/>
      <c r="NGK11" s="26"/>
      <c r="NGM11" s="25"/>
      <c r="NGN11" s="26"/>
      <c r="NGO11" s="26"/>
      <c r="NGP11" s="27"/>
      <c r="NGQ11" s="28"/>
      <c r="NGR11" s="26"/>
      <c r="NGS11" s="26"/>
      <c r="NGU11" s="25"/>
      <c r="NGV11" s="26"/>
      <c r="NGW11" s="26"/>
      <c r="NGX11" s="27"/>
      <c r="NGY11" s="28"/>
      <c r="NGZ11" s="26"/>
      <c r="NHA11" s="26"/>
      <c r="NHC11" s="25"/>
      <c r="NHD11" s="26"/>
      <c r="NHE11" s="26"/>
      <c r="NHF11" s="27"/>
      <c r="NHG11" s="28"/>
      <c r="NHH11" s="26"/>
      <c r="NHI11" s="26"/>
      <c r="NHK11" s="25"/>
      <c r="NHL11" s="26"/>
      <c r="NHM11" s="26"/>
      <c r="NHN11" s="27"/>
      <c r="NHO11" s="28"/>
      <c r="NHP11" s="26"/>
      <c r="NHQ11" s="26"/>
      <c r="NHS11" s="25"/>
      <c r="NHT11" s="26"/>
      <c r="NHU11" s="26"/>
      <c r="NHV11" s="27"/>
      <c r="NHW11" s="28"/>
      <c r="NHX11" s="26"/>
      <c r="NHY11" s="26"/>
      <c r="NIA11" s="25"/>
      <c r="NIB11" s="26"/>
      <c r="NIC11" s="26"/>
      <c r="NID11" s="27"/>
      <c r="NIE11" s="28"/>
      <c r="NIF11" s="26"/>
      <c r="NIG11" s="26"/>
      <c r="NII11" s="25"/>
      <c r="NIJ11" s="26"/>
      <c r="NIK11" s="26"/>
      <c r="NIL11" s="27"/>
      <c r="NIM11" s="28"/>
      <c r="NIN11" s="26"/>
      <c r="NIO11" s="26"/>
      <c r="NIQ11" s="25"/>
      <c r="NIR11" s="26"/>
      <c r="NIS11" s="26"/>
      <c r="NIT11" s="27"/>
      <c r="NIU11" s="28"/>
      <c r="NIV11" s="26"/>
      <c r="NIW11" s="26"/>
      <c r="NIY11" s="25"/>
      <c r="NIZ11" s="26"/>
      <c r="NJA11" s="26"/>
      <c r="NJB11" s="27"/>
      <c r="NJC11" s="28"/>
      <c r="NJD11" s="26"/>
      <c r="NJE11" s="26"/>
      <c r="NJG11" s="25"/>
      <c r="NJH11" s="26"/>
      <c r="NJI11" s="26"/>
      <c r="NJJ11" s="27"/>
      <c r="NJK11" s="28"/>
      <c r="NJL11" s="26"/>
      <c r="NJM11" s="26"/>
      <c r="NJO11" s="25"/>
      <c r="NJP11" s="26"/>
      <c r="NJQ11" s="26"/>
      <c r="NJR11" s="27"/>
      <c r="NJS11" s="28"/>
      <c r="NJT11" s="26"/>
      <c r="NJU11" s="26"/>
      <c r="NJW11" s="25"/>
      <c r="NJX11" s="26"/>
      <c r="NJY11" s="26"/>
      <c r="NJZ11" s="27"/>
      <c r="NKA11" s="28"/>
      <c r="NKB11" s="26"/>
      <c r="NKC11" s="26"/>
      <c r="NKE11" s="25"/>
      <c r="NKF11" s="26"/>
      <c r="NKG11" s="26"/>
      <c r="NKH11" s="27"/>
      <c r="NKI11" s="28"/>
      <c r="NKJ11" s="26"/>
      <c r="NKK11" s="26"/>
      <c r="NKM11" s="25"/>
      <c r="NKN11" s="26"/>
      <c r="NKO11" s="26"/>
      <c r="NKP11" s="27"/>
      <c r="NKQ11" s="28"/>
      <c r="NKR11" s="26"/>
      <c r="NKS11" s="26"/>
      <c r="NKU11" s="25"/>
      <c r="NKV11" s="26"/>
      <c r="NKW11" s="26"/>
      <c r="NKX11" s="27"/>
      <c r="NKY11" s="28"/>
      <c r="NKZ11" s="26"/>
      <c r="NLA11" s="26"/>
      <c r="NLC11" s="25"/>
      <c r="NLD11" s="26"/>
      <c r="NLE11" s="26"/>
      <c r="NLF11" s="27"/>
      <c r="NLG11" s="28"/>
      <c r="NLH11" s="26"/>
      <c r="NLI11" s="26"/>
      <c r="NLK11" s="25"/>
      <c r="NLL11" s="26"/>
      <c r="NLM11" s="26"/>
      <c r="NLN11" s="27"/>
      <c r="NLO11" s="28"/>
      <c r="NLP11" s="26"/>
      <c r="NLQ11" s="26"/>
      <c r="NLS11" s="25"/>
      <c r="NLT11" s="26"/>
      <c r="NLU11" s="26"/>
      <c r="NLV11" s="27"/>
      <c r="NLW11" s="28"/>
      <c r="NLX11" s="26"/>
      <c r="NLY11" s="26"/>
      <c r="NMA11" s="25"/>
      <c r="NMB11" s="26"/>
      <c r="NMC11" s="26"/>
      <c r="NMD11" s="27"/>
      <c r="NME11" s="28"/>
      <c r="NMF11" s="26"/>
      <c r="NMG11" s="26"/>
      <c r="NMI11" s="25"/>
      <c r="NMJ11" s="26"/>
      <c r="NMK11" s="26"/>
      <c r="NML11" s="27"/>
      <c r="NMM11" s="28"/>
      <c r="NMN11" s="26"/>
      <c r="NMO11" s="26"/>
      <c r="NMQ11" s="25"/>
      <c r="NMR11" s="26"/>
      <c r="NMS11" s="26"/>
      <c r="NMT11" s="27"/>
      <c r="NMU11" s="28"/>
      <c r="NMV11" s="26"/>
      <c r="NMW11" s="26"/>
      <c r="NMY11" s="25"/>
      <c r="NMZ11" s="26"/>
      <c r="NNA11" s="26"/>
      <c r="NNB11" s="27"/>
      <c r="NNC11" s="28"/>
      <c r="NND11" s="26"/>
      <c r="NNE11" s="26"/>
      <c r="NNG11" s="25"/>
      <c r="NNH11" s="26"/>
      <c r="NNI11" s="26"/>
      <c r="NNJ11" s="27"/>
      <c r="NNK11" s="28"/>
      <c r="NNL11" s="26"/>
      <c r="NNM11" s="26"/>
      <c r="NNO11" s="25"/>
      <c r="NNP11" s="26"/>
      <c r="NNQ11" s="26"/>
      <c r="NNR11" s="27"/>
      <c r="NNS11" s="28"/>
      <c r="NNT11" s="26"/>
      <c r="NNU11" s="26"/>
      <c r="NNW11" s="25"/>
      <c r="NNX11" s="26"/>
      <c r="NNY11" s="26"/>
      <c r="NNZ11" s="27"/>
      <c r="NOA11" s="28"/>
      <c r="NOB11" s="26"/>
      <c r="NOC11" s="26"/>
      <c r="NOE11" s="25"/>
      <c r="NOF11" s="26"/>
      <c r="NOG11" s="26"/>
      <c r="NOH11" s="27"/>
      <c r="NOI11" s="28"/>
      <c r="NOJ11" s="26"/>
      <c r="NOK11" s="26"/>
      <c r="NOM11" s="25"/>
      <c r="NON11" s="26"/>
      <c r="NOO11" s="26"/>
      <c r="NOP11" s="27"/>
      <c r="NOQ11" s="28"/>
      <c r="NOR11" s="26"/>
      <c r="NOS11" s="26"/>
      <c r="NOU11" s="25"/>
      <c r="NOV11" s="26"/>
      <c r="NOW11" s="26"/>
      <c r="NOX11" s="27"/>
      <c r="NOY11" s="28"/>
      <c r="NOZ11" s="26"/>
      <c r="NPA11" s="26"/>
      <c r="NPC11" s="25"/>
      <c r="NPD11" s="26"/>
      <c r="NPE11" s="26"/>
      <c r="NPF11" s="27"/>
      <c r="NPG11" s="28"/>
      <c r="NPH11" s="26"/>
      <c r="NPI11" s="26"/>
      <c r="NPK11" s="25"/>
      <c r="NPL11" s="26"/>
      <c r="NPM11" s="26"/>
      <c r="NPN11" s="27"/>
      <c r="NPO11" s="28"/>
      <c r="NPP11" s="26"/>
      <c r="NPQ11" s="26"/>
      <c r="NPS11" s="25"/>
      <c r="NPT11" s="26"/>
      <c r="NPU11" s="26"/>
      <c r="NPV11" s="27"/>
      <c r="NPW11" s="28"/>
      <c r="NPX11" s="26"/>
      <c r="NPY11" s="26"/>
      <c r="NQA11" s="25"/>
      <c r="NQB11" s="26"/>
      <c r="NQC11" s="26"/>
      <c r="NQD11" s="27"/>
      <c r="NQE11" s="28"/>
      <c r="NQF11" s="26"/>
      <c r="NQG11" s="26"/>
      <c r="NQI11" s="25"/>
      <c r="NQJ11" s="26"/>
      <c r="NQK11" s="26"/>
      <c r="NQL11" s="27"/>
      <c r="NQM11" s="28"/>
      <c r="NQN11" s="26"/>
      <c r="NQO11" s="26"/>
      <c r="NQQ11" s="25"/>
      <c r="NQR11" s="26"/>
      <c r="NQS11" s="26"/>
      <c r="NQT11" s="27"/>
      <c r="NQU11" s="28"/>
      <c r="NQV11" s="26"/>
      <c r="NQW11" s="26"/>
      <c r="NQY11" s="25"/>
      <c r="NQZ11" s="26"/>
      <c r="NRA11" s="26"/>
      <c r="NRB11" s="27"/>
      <c r="NRC11" s="28"/>
      <c r="NRD11" s="26"/>
      <c r="NRE11" s="26"/>
      <c r="NRG11" s="25"/>
      <c r="NRH11" s="26"/>
      <c r="NRI11" s="26"/>
      <c r="NRJ11" s="27"/>
      <c r="NRK11" s="28"/>
      <c r="NRL11" s="26"/>
      <c r="NRM11" s="26"/>
      <c r="NRO11" s="25"/>
      <c r="NRP11" s="26"/>
      <c r="NRQ11" s="26"/>
      <c r="NRR11" s="27"/>
      <c r="NRS11" s="28"/>
      <c r="NRT11" s="26"/>
      <c r="NRU11" s="26"/>
      <c r="NRW11" s="25"/>
      <c r="NRX11" s="26"/>
      <c r="NRY11" s="26"/>
      <c r="NRZ11" s="27"/>
      <c r="NSA11" s="28"/>
      <c r="NSB11" s="26"/>
      <c r="NSC11" s="26"/>
      <c r="NSE11" s="25"/>
      <c r="NSF11" s="26"/>
      <c r="NSG11" s="26"/>
      <c r="NSH11" s="27"/>
      <c r="NSI11" s="28"/>
      <c r="NSJ11" s="26"/>
      <c r="NSK11" s="26"/>
      <c r="NSM11" s="25"/>
      <c r="NSN11" s="26"/>
      <c r="NSO11" s="26"/>
      <c r="NSP11" s="27"/>
      <c r="NSQ11" s="28"/>
      <c r="NSR11" s="26"/>
      <c r="NSS11" s="26"/>
      <c r="NSU11" s="25"/>
      <c r="NSV11" s="26"/>
      <c r="NSW11" s="26"/>
      <c r="NSX11" s="27"/>
      <c r="NSY11" s="28"/>
      <c r="NSZ11" s="26"/>
      <c r="NTA11" s="26"/>
      <c r="NTC11" s="25"/>
      <c r="NTD11" s="26"/>
      <c r="NTE11" s="26"/>
      <c r="NTF11" s="27"/>
      <c r="NTG11" s="28"/>
      <c r="NTH11" s="26"/>
      <c r="NTI11" s="26"/>
      <c r="NTK11" s="25"/>
      <c r="NTL11" s="26"/>
      <c r="NTM11" s="26"/>
      <c r="NTN11" s="27"/>
      <c r="NTO11" s="28"/>
      <c r="NTP11" s="26"/>
      <c r="NTQ11" s="26"/>
      <c r="NTS11" s="25"/>
      <c r="NTT11" s="26"/>
      <c r="NTU11" s="26"/>
      <c r="NTV11" s="27"/>
      <c r="NTW11" s="28"/>
      <c r="NTX11" s="26"/>
      <c r="NTY11" s="26"/>
      <c r="NUA11" s="25"/>
      <c r="NUB11" s="26"/>
      <c r="NUC11" s="26"/>
      <c r="NUD11" s="27"/>
      <c r="NUE11" s="28"/>
      <c r="NUF11" s="26"/>
      <c r="NUG11" s="26"/>
      <c r="NUI11" s="25"/>
      <c r="NUJ11" s="26"/>
      <c r="NUK11" s="26"/>
      <c r="NUL11" s="27"/>
      <c r="NUM11" s="28"/>
      <c r="NUN11" s="26"/>
      <c r="NUO11" s="26"/>
      <c r="NUQ11" s="25"/>
      <c r="NUR11" s="26"/>
      <c r="NUS11" s="26"/>
      <c r="NUT11" s="27"/>
      <c r="NUU11" s="28"/>
      <c r="NUV11" s="26"/>
      <c r="NUW11" s="26"/>
      <c r="NUY11" s="25"/>
      <c r="NUZ11" s="26"/>
      <c r="NVA11" s="26"/>
      <c r="NVB11" s="27"/>
      <c r="NVC11" s="28"/>
      <c r="NVD11" s="26"/>
      <c r="NVE11" s="26"/>
      <c r="NVG11" s="25"/>
      <c r="NVH11" s="26"/>
      <c r="NVI11" s="26"/>
      <c r="NVJ11" s="27"/>
      <c r="NVK11" s="28"/>
      <c r="NVL11" s="26"/>
      <c r="NVM11" s="26"/>
      <c r="NVO11" s="25"/>
      <c r="NVP11" s="26"/>
      <c r="NVQ11" s="26"/>
      <c r="NVR11" s="27"/>
      <c r="NVS11" s="28"/>
      <c r="NVT11" s="26"/>
      <c r="NVU11" s="26"/>
      <c r="NVW11" s="25"/>
      <c r="NVX11" s="26"/>
      <c r="NVY11" s="26"/>
      <c r="NVZ11" s="27"/>
      <c r="NWA11" s="28"/>
      <c r="NWB11" s="26"/>
      <c r="NWC11" s="26"/>
      <c r="NWE11" s="25"/>
      <c r="NWF11" s="26"/>
      <c r="NWG11" s="26"/>
      <c r="NWH11" s="27"/>
      <c r="NWI11" s="28"/>
      <c r="NWJ11" s="26"/>
      <c r="NWK11" s="26"/>
      <c r="NWM11" s="25"/>
      <c r="NWN11" s="26"/>
      <c r="NWO11" s="26"/>
      <c r="NWP11" s="27"/>
      <c r="NWQ11" s="28"/>
      <c r="NWR11" s="26"/>
      <c r="NWS11" s="26"/>
      <c r="NWU11" s="25"/>
      <c r="NWV11" s="26"/>
      <c r="NWW11" s="26"/>
      <c r="NWX11" s="27"/>
      <c r="NWY11" s="28"/>
      <c r="NWZ11" s="26"/>
      <c r="NXA11" s="26"/>
      <c r="NXC11" s="25"/>
      <c r="NXD11" s="26"/>
      <c r="NXE11" s="26"/>
      <c r="NXF11" s="27"/>
      <c r="NXG11" s="28"/>
      <c r="NXH11" s="26"/>
      <c r="NXI11" s="26"/>
      <c r="NXK11" s="25"/>
      <c r="NXL11" s="26"/>
      <c r="NXM11" s="26"/>
      <c r="NXN11" s="27"/>
      <c r="NXO11" s="28"/>
      <c r="NXP11" s="26"/>
      <c r="NXQ11" s="26"/>
      <c r="NXS11" s="25"/>
      <c r="NXT11" s="26"/>
      <c r="NXU11" s="26"/>
      <c r="NXV11" s="27"/>
      <c r="NXW11" s="28"/>
      <c r="NXX11" s="26"/>
      <c r="NXY11" s="26"/>
      <c r="NYA11" s="25"/>
      <c r="NYB11" s="26"/>
      <c r="NYC11" s="26"/>
      <c r="NYD11" s="27"/>
      <c r="NYE11" s="28"/>
      <c r="NYF11" s="26"/>
      <c r="NYG11" s="26"/>
      <c r="NYI11" s="25"/>
      <c r="NYJ11" s="26"/>
      <c r="NYK11" s="26"/>
      <c r="NYL11" s="27"/>
      <c r="NYM11" s="28"/>
      <c r="NYN11" s="26"/>
      <c r="NYO11" s="26"/>
      <c r="NYQ11" s="25"/>
      <c r="NYR11" s="26"/>
      <c r="NYS11" s="26"/>
      <c r="NYT11" s="27"/>
      <c r="NYU11" s="28"/>
      <c r="NYV11" s="26"/>
      <c r="NYW11" s="26"/>
      <c r="NYY11" s="25"/>
      <c r="NYZ11" s="26"/>
      <c r="NZA11" s="26"/>
      <c r="NZB11" s="27"/>
      <c r="NZC11" s="28"/>
      <c r="NZD11" s="26"/>
      <c r="NZE11" s="26"/>
      <c r="NZG11" s="25"/>
      <c r="NZH11" s="26"/>
      <c r="NZI11" s="26"/>
      <c r="NZJ11" s="27"/>
      <c r="NZK11" s="28"/>
      <c r="NZL11" s="26"/>
      <c r="NZM11" s="26"/>
      <c r="NZO11" s="25"/>
      <c r="NZP11" s="26"/>
      <c r="NZQ11" s="26"/>
      <c r="NZR11" s="27"/>
      <c r="NZS11" s="28"/>
      <c r="NZT11" s="26"/>
      <c r="NZU11" s="26"/>
      <c r="NZW11" s="25"/>
      <c r="NZX11" s="26"/>
      <c r="NZY11" s="26"/>
      <c r="NZZ11" s="27"/>
      <c r="OAA11" s="28"/>
      <c r="OAB11" s="26"/>
      <c r="OAC11" s="26"/>
      <c r="OAE11" s="25"/>
      <c r="OAF11" s="26"/>
      <c r="OAG11" s="26"/>
      <c r="OAH11" s="27"/>
      <c r="OAI11" s="28"/>
      <c r="OAJ11" s="26"/>
      <c r="OAK11" s="26"/>
      <c r="OAM11" s="25"/>
      <c r="OAN11" s="26"/>
      <c r="OAO11" s="26"/>
      <c r="OAP11" s="27"/>
      <c r="OAQ11" s="28"/>
      <c r="OAR11" s="26"/>
      <c r="OAS11" s="26"/>
      <c r="OAU11" s="25"/>
      <c r="OAV11" s="26"/>
      <c r="OAW11" s="26"/>
      <c r="OAX11" s="27"/>
      <c r="OAY11" s="28"/>
      <c r="OAZ11" s="26"/>
      <c r="OBA11" s="26"/>
      <c r="OBC11" s="25"/>
      <c r="OBD11" s="26"/>
      <c r="OBE11" s="26"/>
      <c r="OBF11" s="27"/>
      <c r="OBG11" s="28"/>
      <c r="OBH11" s="26"/>
      <c r="OBI11" s="26"/>
      <c r="OBK11" s="25"/>
      <c r="OBL11" s="26"/>
      <c r="OBM11" s="26"/>
      <c r="OBN11" s="27"/>
      <c r="OBO11" s="28"/>
      <c r="OBP11" s="26"/>
      <c r="OBQ11" s="26"/>
      <c r="OBS11" s="25"/>
      <c r="OBT11" s="26"/>
      <c r="OBU11" s="26"/>
      <c r="OBV11" s="27"/>
      <c r="OBW11" s="28"/>
      <c r="OBX11" s="26"/>
      <c r="OBY11" s="26"/>
      <c r="OCA11" s="25"/>
      <c r="OCB11" s="26"/>
      <c r="OCC11" s="26"/>
      <c r="OCD11" s="27"/>
      <c r="OCE11" s="28"/>
      <c r="OCF11" s="26"/>
      <c r="OCG11" s="26"/>
      <c r="OCI11" s="25"/>
      <c r="OCJ11" s="26"/>
      <c r="OCK11" s="26"/>
      <c r="OCL11" s="27"/>
      <c r="OCM11" s="28"/>
      <c r="OCN11" s="26"/>
      <c r="OCO11" s="26"/>
      <c r="OCQ11" s="25"/>
      <c r="OCR11" s="26"/>
      <c r="OCS11" s="26"/>
      <c r="OCT11" s="27"/>
      <c r="OCU11" s="28"/>
      <c r="OCV11" s="26"/>
      <c r="OCW11" s="26"/>
      <c r="OCY11" s="25"/>
      <c r="OCZ11" s="26"/>
      <c r="ODA11" s="26"/>
      <c r="ODB11" s="27"/>
      <c r="ODC11" s="28"/>
      <c r="ODD11" s="26"/>
      <c r="ODE11" s="26"/>
      <c r="ODG11" s="25"/>
      <c r="ODH11" s="26"/>
      <c r="ODI11" s="26"/>
      <c r="ODJ11" s="27"/>
      <c r="ODK11" s="28"/>
      <c r="ODL11" s="26"/>
      <c r="ODM11" s="26"/>
      <c r="ODO11" s="25"/>
      <c r="ODP11" s="26"/>
      <c r="ODQ11" s="26"/>
      <c r="ODR11" s="27"/>
      <c r="ODS11" s="28"/>
      <c r="ODT11" s="26"/>
      <c r="ODU11" s="26"/>
      <c r="ODW11" s="25"/>
      <c r="ODX11" s="26"/>
      <c r="ODY11" s="26"/>
      <c r="ODZ11" s="27"/>
      <c r="OEA11" s="28"/>
      <c r="OEB11" s="26"/>
      <c r="OEC11" s="26"/>
      <c r="OEE11" s="25"/>
      <c r="OEF11" s="26"/>
      <c r="OEG11" s="26"/>
      <c r="OEH11" s="27"/>
      <c r="OEI11" s="28"/>
      <c r="OEJ11" s="26"/>
      <c r="OEK11" s="26"/>
      <c r="OEM11" s="25"/>
      <c r="OEN11" s="26"/>
      <c r="OEO11" s="26"/>
      <c r="OEP11" s="27"/>
      <c r="OEQ11" s="28"/>
      <c r="OER11" s="26"/>
      <c r="OES11" s="26"/>
      <c r="OEU11" s="25"/>
      <c r="OEV11" s="26"/>
      <c r="OEW11" s="26"/>
      <c r="OEX11" s="27"/>
      <c r="OEY11" s="28"/>
      <c r="OEZ11" s="26"/>
      <c r="OFA11" s="26"/>
      <c r="OFC11" s="25"/>
      <c r="OFD11" s="26"/>
      <c r="OFE11" s="26"/>
      <c r="OFF11" s="27"/>
      <c r="OFG11" s="28"/>
      <c r="OFH11" s="26"/>
      <c r="OFI11" s="26"/>
      <c r="OFK11" s="25"/>
      <c r="OFL11" s="26"/>
      <c r="OFM11" s="26"/>
      <c r="OFN11" s="27"/>
      <c r="OFO11" s="28"/>
      <c r="OFP11" s="26"/>
      <c r="OFQ11" s="26"/>
      <c r="OFS11" s="25"/>
      <c r="OFT11" s="26"/>
      <c r="OFU11" s="26"/>
      <c r="OFV11" s="27"/>
      <c r="OFW11" s="28"/>
      <c r="OFX11" s="26"/>
      <c r="OFY11" s="26"/>
      <c r="OGA11" s="25"/>
      <c r="OGB11" s="26"/>
      <c r="OGC11" s="26"/>
      <c r="OGD11" s="27"/>
      <c r="OGE11" s="28"/>
      <c r="OGF11" s="26"/>
      <c r="OGG11" s="26"/>
      <c r="OGI11" s="25"/>
      <c r="OGJ11" s="26"/>
      <c r="OGK11" s="26"/>
      <c r="OGL11" s="27"/>
      <c r="OGM11" s="28"/>
      <c r="OGN11" s="26"/>
      <c r="OGO11" s="26"/>
      <c r="OGQ11" s="25"/>
      <c r="OGR11" s="26"/>
      <c r="OGS11" s="26"/>
      <c r="OGT11" s="27"/>
      <c r="OGU11" s="28"/>
      <c r="OGV11" s="26"/>
      <c r="OGW11" s="26"/>
      <c r="OGY11" s="25"/>
      <c r="OGZ11" s="26"/>
      <c r="OHA11" s="26"/>
      <c r="OHB11" s="27"/>
      <c r="OHC11" s="28"/>
      <c r="OHD11" s="26"/>
      <c r="OHE11" s="26"/>
      <c r="OHG11" s="25"/>
      <c r="OHH11" s="26"/>
      <c r="OHI11" s="26"/>
      <c r="OHJ11" s="27"/>
      <c r="OHK11" s="28"/>
      <c r="OHL11" s="26"/>
      <c r="OHM11" s="26"/>
      <c r="OHO11" s="25"/>
      <c r="OHP11" s="26"/>
      <c r="OHQ11" s="26"/>
      <c r="OHR11" s="27"/>
      <c r="OHS11" s="28"/>
      <c r="OHT11" s="26"/>
      <c r="OHU11" s="26"/>
      <c r="OHW11" s="25"/>
      <c r="OHX11" s="26"/>
      <c r="OHY11" s="26"/>
      <c r="OHZ11" s="27"/>
      <c r="OIA11" s="28"/>
      <c r="OIB11" s="26"/>
      <c r="OIC11" s="26"/>
      <c r="OIE11" s="25"/>
      <c r="OIF11" s="26"/>
      <c r="OIG11" s="26"/>
      <c r="OIH11" s="27"/>
      <c r="OII11" s="28"/>
      <c r="OIJ11" s="26"/>
      <c r="OIK11" s="26"/>
      <c r="OIM11" s="25"/>
      <c r="OIN11" s="26"/>
      <c r="OIO11" s="26"/>
      <c r="OIP11" s="27"/>
      <c r="OIQ11" s="28"/>
      <c r="OIR11" s="26"/>
      <c r="OIS11" s="26"/>
      <c r="OIU11" s="25"/>
      <c r="OIV11" s="26"/>
      <c r="OIW11" s="26"/>
      <c r="OIX11" s="27"/>
      <c r="OIY11" s="28"/>
      <c r="OIZ11" s="26"/>
      <c r="OJA11" s="26"/>
      <c r="OJC11" s="25"/>
      <c r="OJD11" s="26"/>
      <c r="OJE11" s="26"/>
      <c r="OJF11" s="27"/>
      <c r="OJG11" s="28"/>
      <c r="OJH11" s="26"/>
      <c r="OJI11" s="26"/>
      <c r="OJK11" s="25"/>
      <c r="OJL11" s="26"/>
      <c r="OJM11" s="26"/>
      <c r="OJN11" s="27"/>
      <c r="OJO11" s="28"/>
      <c r="OJP11" s="26"/>
      <c r="OJQ11" s="26"/>
      <c r="OJS11" s="25"/>
      <c r="OJT11" s="26"/>
      <c r="OJU11" s="26"/>
      <c r="OJV11" s="27"/>
      <c r="OJW11" s="28"/>
      <c r="OJX11" s="26"/>
      <c r="OJY11" s="26"/>
      <c r="OKA11" s="25"/>
      <c r="OKB11" s="26"/>
      <c r="OKC11" s="26"/>
      <c r="OKD11" s="27"/>
      <c r="OKE11" s="28"/>
      <c r="OKF11" s="26"/>
      <c r="OKG11" s="26"/>
      <c r="OKI11" s="25"/>
      <c r="OKJ11" s="26"/>
      <c r="OKK11" s="26"/>
      <c r="OKL11" s="27"/>
      <c r="OKM11" s="28"/>
      <c r="OKN11" s="26"/>
      <c r="OKO11" s="26"/>
      <c r="OKQ11" s="25"/>
      <c r="OKR11" s="26"/>
      <c r="OKS11" s="26"/>
      <c r="OKT11" s="27"/>
      <c r="OKU11" s="28"/>
      <c r="OKV11" s="26"/>
      <c r="OKW11" s="26"/>
      <c r="OKY11" s="25"/>
      <c r="OKZ11" s="26"/>
      <c r="OLA11" s="26"/>
      <c r="OLB11" s="27"/>
      <c r="OLC11" s="28"/>
      <c r="OLD11" s="26"/>
      <c r="OLE11" s="26"/>
      <c r="OLG11" s="25"/>
      <c r="OLH11" s="26"/>
      <c r="OLI11" s="26"/>
      <c r="OLJ11" s="27"/>
      <c r="OLK11" s="28"/>
      <c r="OLL11" s="26"/>
      <c r="OLM11" s="26"/>
      <c r="OLO11" s="25"/>
      <c r="OLP11" s="26"/>
      <c r="OLQ11" s="26"/>
      <c r="OLR11" s="27"/>
      <c r="OLS11" s="28"/>
      <c r="OLT11" s="26"/>
      <c r="OLU11" s="26"/>
      <c r="OLW11" s="25"/>
      <c r="OLX11" s="26"/>
      <c r="OLY11" s="26"/>
      <c r="OLZ11" s="27"/>
      <c r="OMA11" s="28"/>
      <c r="OMB11" s="26"/>
      <c r="OMC11" s="26"/>
      <c r="OME11" s="25"/>
      <c r="OMF11" s="26"/>
      <c r="OMG11" s="26"/>
      <c r="OMH11" s="27"/>
      <c r="OMI11" s="28"/>
      <c r="OMJ11" s="26"/>
      <c r="OMK11" s="26"/>
      <c r="OMM11" s="25"/>
      <c r="OMN11" s="26"/>
      <c r="OMO11" s="26"/>
      <c r="OMP11" s="27"/>
      <c r="OMQ11" s="28"/>
      <c r="OMR11" s="26"/>
      <c r="OMS11" s="26"/>
      <c r="OMU11" s="25"/>
      <c r="OMV11" s="26"/>
      <c r="OMW11" s="26"/>
      <c r="OMX11" s="27"/>
      <c r="OMY11" s="28"/>
      <c r="OMZ11" s="26"/>
      <c r="ONA11" s="26"/>
      <c r="ONC11" s="25"/>
      <c r="OND11" s="26"/>
      <c r="ONE11" s="26"/>
      <c r="ONF11" s="27"/>
      <c r="ONG11" s="28"/>
      <c r="ONH11" s="26"/>
      <c r="ONI11" s="26"/>
      <c r="ONK11" s="25"/>
      <c r="ONL11" s="26"/>
      <c r="ONM11" s="26"/>
      <c r="ONN11" s="27"/>
      <c r="ONO11" s="28"/>
      <c r="ONP11" s="26"/>
      <c r="ONQ11" s="26"/>
      <c r="ONS11" s="25"/>
      <c r="ONT11" s="26"/>
      <c r="ONU11" s="26"/>
      <c r="ONV11" s="27"/>
      <c r="ONW11" s="28"/>
      <c r="ONX11" s="26"/>
      <c r="ONY11" s="26"/>
      <c r="OOA11" s="25"/>
      <c r="OOB11" s="26"/>
      <c r="OOC11" s="26"/>
      <c r="OOD11" s="27"/>
      <c r="OOE11" s="28"/>
      <c r="OOF11" s="26"/>
      <c r="OOG11" s="26"/>
      <c r="OOI11" s="25"/>
      <c r="OOJ11" s="26"/>
      <c r="OOK11" s="26"/>
      <c r="OOL11" s="27"/>
      <c r="OOM11" s="28"/>
      <c r="OON11" s="26"/>
      <c r="OOO11" s="26"/>
      <c r="OOQ11" s="25"/>
      <c r="OOR11" s="26"/>
      <c r="OOS11" s="26"/>
      <c r="OOT11" s="27"/>
      <c r="OOU11" s="28"/>
      <c r="OOV11" s="26"/>
      <c r="OOW11" s="26"/>
      <c r="OOY11" s="25"/>
      <c r="OOZ11" s="26"/>
      <c r="OPA11" s="26"/>
      <c r="OPB11" s="27"/>
      <c r="OPC11" s="28"/>
      <c r="OPD11" s="26"/>
      <c r="OPE11" s="26"/>
      <c r="OPG11" s="25"/>
      <c r="OPH11" s="26"/>
      <c r="OPI11" s="26"/>
      <c r="OPJ11" s="27"/>
      <c r="OPK11" s="28"/>
      <c r="OPL11" s="26"/>
      <c r="OPM11" s="26"/>
      <c r="OPO11" s="25"/>
      <c r="OPP11" s="26"/>
      <c r="OPQ11" s="26"/>
      <c r="OPR11" s="27"/>
      <c r="OPS11" s="28"/>
      <c r="OPT11" s="26"/>
      <c r="OPU11" s="26"/>
      <c r="OPW11" s="25"/>
      <c r="OPX11" s="26"/>
      <c r="OPY11" s="26"/>
      <c r="OPZ11" s="27"/>
      <c r="OQA11" s="28"/>
      <c r="OQB11" s="26"/>
      <c r="OQC11" s="26"/>
      <c r="OQE11" s="25"/>
      <c r="OQF11" s="26"/>
      <c r="OQG11" s="26"/>
      <c r="OQH11" s="27"/>
      <c r="OQI11" s="28"/>
      <c r="OQJ11" s="26"/>
      <c r="OQK11" s="26"/>
      <c r="OQM11" s="25"/>
      <c r="OQN11" s="26"/>
      <c r="OQO11" s="26"/>
      <c r="OQP11" s="27"/>
      <c r="OQQ11" s="28"/>
      <c r="OQR11" s="26"/>
      <c r="OQS11" s="26"/>
      <c r="OQU11" s="25"/>
      <c r="OQV11" s="26"/>
      <c r="OQW11" s="26"/>
      <c r="OQX11" s="27"/>
      <c r="OQY11" s="28"/>
      <c r="OQZ11" s="26"/>
      <c r="ORA11" s="26"/>
      <c r="ORC11" s="25"/>
      <c r="ORD11" s="26"/>
      <c r="ORE11" s="26"/>
      <c r="ORF11" s="27"/>
      <c r="ORG11" s="28"/>
      <c r="ORH11" s="26"/>
      <c r="ORI11" s="26"/>
      <c r="ORK11" s="25"/>
      <c r="ORL11" s="26"/>
      <c r="ORM11" s="26"/>
      <c r="ORN11" s="27"/>
      <c r="ORO11" s="28"/>
      <c r="ORP11" s="26"/>
      <c r="ORQ11" s="26"/>
      <c r="ORS11" s="25"/>
      <c r="ORT11" s="26"/>
      <c r="ORU11" s="26"/>
      <c r="ORV11" s="27"/>
      <c r="ORW11" s="28"/>
      <c r="ORX11" s="26"/>
      <c r="ORY11" s="26"/>
      <c r="OSA11" s="25"/>
      <c r="OSB11" s="26"/>
      <c r="OSC11" s="26"/>
      <c r="OSD11" s="27"/>
      <c r="OSE11" s="28"/>
      <c r="OSF11" s="26"/>
      <c r="OSG11" s="26"/>
      <c r="OSI11" s="25"/>
      <c r="OSJ11" s="26"/>
      <c r="OSK11" s="26"/>
      <c r="OSL11" s="27"/>
      <c r="OSM11" s="28"/>
      <c r="OSN11" s="26"/>
      <c r="OSO11" s="26"/>
      <c r="OSQ11" s="25"/>
      <c r="OSR11" s="26"/>
      <c r="OSS11" s="26"/>
      <c r="OST11" s="27"/>
      <c r="OSU11" s="28"/>
      <c r="OSV11" s="26"/>
      <c r="OSW11" s="26"/>
      <c r="OSY11" s="25"/>
      <c r="OSZ11" s="26"/>
      <c r="OTA11" s="26"/>
      <c r="OTB11" s="27"/>
      <c r="OTC11" s="28"/>
      <c r="OTD11" s="26"/>
      <c r="OTE11" s="26"/>
      <c r="OTG11" s="25"/>
      <c r="OTH11" s="26"/>
      <c r="OTI11" s="26"/>
      <c r="OTJ11" s="27"/>
      <c r="OTK11" s="28"/>
      <c r="OTL11" s="26"/>
      <c r="OTM11" s="26"/>
      <c r="OTO11" s="25"/>
      <c r="OTP11" s="26"/>
      <c r="OTQ11" s="26"/>
      <c r="OTR11" s="27"/>
      <c r="OTS11" s="28"/>
      <c r="OTT11" s="26"/>
      <c r="OTU11" s="26"/>
      <c r="OTW11" s="25"/>
      <c r="OTX11" s="26"/>
      <c r="OTY11" s="26"/>
      <c r="OTZ11" s="27"/>
      <c r="OUA11" s="28"/>
      <c r="OUB11" s="26"/>
      <c r="OUC11" s="26"/>
      <c r="OUE11" s="25"/>
      <c r="OUF11" s="26"/>
      <c r="OUG11" s="26"/>
      <c r="OUH11" s="27"/>
      <c r="OUI11" s="28"/>
      <c r="OUJ11" s="26"/>
      <c r="OUK11" s="26"/>
      <c r="OUM11" s="25"/>
      <c r="OUN11" s="26"/>
      <c r="OUO11" s="26"/>
      <c r="OUP11" s="27"/>
      <c r="OUQ11" s="28"/>
      <c r="OUR11" s="26"/>
      <c r="OUS11" s="26"/>
      <c r="OUU11" s="25"/>
      <c r="OUV11" s="26"/>
      <c r="OUW11" s="26"/>
      <c r="OUX11" s="27"/>
      <c r="OUY11" s="28"/>
      <c r="OUZ11" s="26"/>
      <c r="OVA11" s="26"/>
      <c r="OVC11" s="25"/>
      <c r="OVD11" s="26"/>
      <c r="OVE11" s="26"/>
      <c r="OVF11" s="27"/>
      <c r="OVG11" s="28"/>
      <c r="OVH11" s="26"/>
      <c r="OVI11" s="26"/>
      <c r="OVK11" s="25"/>
      <c r="OVL11" s="26"/>
      <c r="OVM11" s="26"/>
      <c r="OVN11" s="27"/>
      <c r="OVO11" s="28"/>
      <c r="OVP11" s="26"/>
      <c r="OVQ11" s="26"/>
      <c r="OVS11" s="25"/>
      <c r="OVT11" s="26"/>
      <c r="OVU11" s="26"/>
      <c r="OVV11" s="27"/>
      <c r="OVW11" s="28"/>
      <c r="OVX11" s="26"/>
      <c r="OVY11" s="26"/>
      <c r="OWA11" s="25"/>
      <c r="OWB11" s="26"/>
      <c r="OWC11" s="26"/>
      <c r="OWD11" s="27"/>
      <c r="OWE11" s="28"/>
      <c r="OWF11" s="26"/>
      <c r="OWG11" s="26"/>
      <c r="OWI11" s="25"/>
      <c r="OWJ11" s="26"/>
      <c r="OWK11" s="26"/>
      <c r="OWL11" s="27"/>
      <c r="OWM11" s="28"/>
      <c r="OWN11" s="26"/>
      <c r="OWO11" s="26"/>
      <c r="OWQ11" s="25"/>
      <c r="OWR11" s="26"/>
      <c r="OWS11" s="26"/>
      <c r="OWT11" s="27"/>
      <c r="OWU11" s="28"/>
      <c r="OWV11" s="26"/>
      <c r="OWW11" s="26"/>
      <c r="OWY11" s="25"/>
      <c r="OWZ11" s="26"/>
      <c r="OXA11" s="26"/>
      <c r="OXB11" s="27"/>
      <c r="OXC11" s="28"/>
      <c r="OXD11" s="26"/>
      <c r="OXE11" s="26"/>
      <c r="OXG11" s="25"/>
      <c r="OXH11" s="26"/>
      <c r="OXI11" s="26"/>
      <c r="OXJ11" s="27"/>
      <c r="OXK11" s="28"/>
      <c r="OXL11" s="26"/>
      <c r="OXM11" s="26"/>
      <c r="OXO11" s="25"/>
      <c r="OXP11" s="26"/>
      <c r="OXQ11" s="26"/>
      <c r="OXR11" s="27"/>
      <c r="OXS11" s="28"/>
      <c r="OXT11" s="26"/>
      <c r="OXU11" s="26"/>
      <c r="OXW11" s="25"/>
      <c r="OXX11" s="26"/>
      <c r="OXY11" s="26"/>
      <c r="OXZ11" s="27"/>
      <c r="OYA11" s="28"/>
      <c r="OYB11" s="26"/>
      <c r="OYC11" s="26"/>
      <c r="OYE11" s="25"/>
      <c r="OYF11" s="26"/>
      <c r="OYG11" s="26"/>
      <c r="OYH11" s="27"/>
      <c r="OYI11" s="28"/>
      <c r="OYJ11" s="26"/>
      <c r="OYK11" s="26"/>
      <c r="OYM11" s="25"/>
      <c r="OYN11" s="26"/>
      <c r="OYO11" s="26"/>
      <c r="OYP11" s="27"/>
      <c r="OYQ11" s="28"/>
      <c r="OYR11" s="26"/>
      <c r="OYS11" s="26"/>
      <c r="OYU11" s="25"/>
      <c r="OYV11" s="26"/>
      <c r="OYW11" s="26"/>
      <c r="OYX11" s="27"/>
      <c r="OYY11" s="28"/>
      <c r="OYZ11" s="26"/>
      <c r="OZA11" s="26"/>
      <c r="OZC11" s="25"/>
      <c r="OZD11" s="26"/>
      <c r="OZE11" s="26"/>
      <c r="OZF11" s="27"/>
      <c r="OZG11" s="28"/>
      <c r="OZH11" s="26"/>
      <c r="OZI11" s="26"/>
      <c r="OZK11" s="25"/>
      <c r="OZL11" s="26"/>
      <c r="OZM11" s="26"/>
      <c r="OZN11" s="27"/>
      <c r="OZO11" s="28"/>
      <c r="OZP11" s="26"/>
      <c r="OZQ11" s="26"/>
      <c r="OZS11" s="25"/>
      <c r="OZT11" s="26"/>
      <c r="OZU11" s="26"/>
      <c r="OZV11" s="27"/>
      <c r="OZW11" s="28"/>
      <c r="OZX11" s="26"/>
      <c r="OZY11" s="26"/>
      <c r="PAA11" s="25"/>
      <c r="PAB11" s="26"/>
      <c r="PAC11" s="26"/>
      <c r="PAD11" s="27"/>
      <c r="PAE11" s="28"/>
      <c r="PAF11" s="26"/>
      <c r="PAG11" s="26"/>
      <c r="PAI11" s="25"/>
      <c r="PAJ11" s="26"/>
      <c r="PAK11" s="26"/>
      <c r="PAL11" s="27"/>
      <c r="PAM11" s="28"/>
      <c r="PAN11" s="26"/>
      <c r="PAO11" s="26"/>
      <c r="PAQ11" s="25"/>
      <c r="PAR11" s="26"/>
      <c r="PAS11" s="26"/>
      <c r="PAT11" s="27"/>
      <c r="PAU11" s="28"/>
      <c r="PAV11" s="26"/>
      <c r="PAW11" s="26"/>
      <c r="PAY11" s="25"/>
      <c r="PAZ11" s="26"/>
      <c r="PBA11" s="26"/>
      <c r="PBB11" s="27"/>
      <c r="PBC11" s="28"/>
      <c r="PBD11" s="26"/>
      <c r="PBE11" s="26"/>
      <c r="PBG11" s="25"/>
      <c r="PBH11" s="26"/>
      <c r="PBI11" s="26"/>
      <c r="PBJ11" s="27"/>
      <c r="PBK11" s="28"/>
      <c r="PBL11" s="26"/>
      <c r="PBM11" s="26"/>
      <c r="PBO11" s="25"/>
      <c r="PBP11" s="26"/>
      <c r="PBQ11" s="26"/>
      <c r="PBR11" s="27"/>
      <c r="PBS11" s="28"/>
      <c r="PBT11" s="26"/>
      <c r="PBU11" s="26"/>
      <c r="PBW11" s="25"/>
      <c r="PBX11" s="26"/>
      <c r="PBY11" s="26"/>
      <c r="PBZ11" s="27"/>
      <c r="PCA11" s="28"/>
      <c r="PCB11" s="26"/>
      <c r="PCC11" s="26"/>
      <c r="PCE11" s="25"/>
      <c r="PCF11" s="26"/>
      <c r="PCG11" s="26"/>
      <c r="PCH11" s="27"/>
      <c r="PCI11" s="28"/>
      <c r="PCJ11" s="26"/>
      <c r="PCK11" s="26"/>
      <c r="PCM11" s="25"/>
      <c r="PCN11" s="26"/>
      <c r="PCO11" s="26"/>
      <c r="PCP11" s="27"/>
      <c r="PCQ11" s="28"/>
      <c r="PCR11" s="26"/>
      <c r="PCS11" s="26"/>
      <c r="PCU11" s="25"/>
      <c r="PCV11" s="26"/>
      <c r="PCW11" s="26"/>
      <c r="PCX11" s="27"/>
      <c r="PCY11" s="28"/>
      <c r="PCZ11" s="26"/>
      <c r="PDA11" s="26"/>
      <c r="PDC11" s="25"/>
      <c r="PDD11" s="26"/>
      <c r="PDE11" s="26"/>
      <c r="PDF11" s="27"/>
      <c r="PDG11" s="28"/>
      <c r="PDH11" s="26"/>
      <c r="PDI11" s="26"/>
      <c r="PDK11" s="25"/>
      <c r="PDL11" s="26"/>
      <c r="PDM11" s="26"/>
      <c r="PDN11" s="27"/>
      <c r="PDO11" s="28"/>
      <c r="PDP11" s="26"/>
      <c r="PDQ11" s="26"/>
      <c r="PDS11" s="25"/>
      <c r="PDT11" s="26"/>
      <c r="PDU11" s="26"/>
      <c r="PDV11" s="27"/>
      <c r="PDW11" s="28"/>
      <c r="PDX11" s="26"/>
      <c r="PDY11" s="26"/>
      <c r="PEA11" s="25"/>
      <c r="PEB11" s="26"/>
      <c r="PEC11" s="26"/>
      <c r="PED11" s="27"/>
      <c r="PEE11" s="28"/>
      <c r="PEF11" s="26"/>
      <c r="PEG11" s="26"/>
      <c r="PEI11" s="25"/>
      <c r="PEJ11" s="26"/>
      <c r="PEK11" s="26"/>
      <c r="PEL11" s="27"/>
      <c r="PEM11" s="28"/>
      <c r="PEN11" s="26"/>
      <c r="PEO11" s="26"/>
      <c r="PEQ11" s="25"/>
      <c r="PER11" s="26"/>
      <c r="PES11" s="26"/>
      <c r="PET11" s="27"/>
      <c r="PEU11" s="28"/>
      <c r="PEV11" s="26"/>
      <c r="PEW11" s="26"/>
      <c r="PEY11" s="25"/>
      <c r="PEZ11" s="26"/>
      <c r="PFA11" s="26"/>
      <c r="PFB11" s="27"/>
      <c r="PFC11" s="28"/>
      <c r="PFD11" s="26"/>
      <c r="PFE11" s="26"/>
      <c r="PFG11" s="25"/>
      <c r="PFH11" s="26"/>
      <c r="PFI11" s="26"/>
      <c r="PFJ11" s="27"/>
      <c r="PFK11" s="28"/>
      <c r="PFL11" s="26"/>
      <c r="PFM11" s="26"/>
      <c r="PFO11" s="25"/>
      <c r="PFP11" s="26"/>
      <c r="PFQ11" s="26"/>
      <c r="PFR11" s="27"/>
      <c r="PFS11" s="28"/>
      <c r="PFT11" s="26"/>
      <c r="PFU11" s="26"/>
      <c r="PFW11" s="25"/>
      <c r="PFX11" s="26"/>
      <c r="PFY11" s="26"/>
      <c r="PFZ11" s="27"/>
      <c r="PGA11" s="28"/>
      <c r="PGB11" s="26"/>
      <c r="PGC11" s="26"/>
      <c r="PGE11" s="25"/>
      <c r="PGF11" s="26"/>
      <c r="PGG11" s="26"/>
      <c r="PGH11" s="27"/>
      <c r="PGI11" s="28"/>
      <c r="PGJ11" s="26"/>
      <c r="PGK11" s="26"/>
      <c r="PGM11" s="25"/>
      <c r="PGN11" s="26"/>
      <c r="PGO11" s="26"/>
      <c r="PGP11" s="27"/>
      <c r="PGQ11" s="28"/>
      <c r="PGR11" s="26"/>
      <c r="PGS11" s="26"/>
      <c r="PGU11" s="25"/>
      <c r="PGV11" s="26"/>
      <c r="PGW11" s="26"/>
      <c r="PGX11" s="27"/>
      <c r="PGY11" s="28"/>
      <c r="PGZ11" s="26"/>
      <c r="PHA11" s="26"/>
      <c r="PHC11" s="25"/>
      <c r="PHD11" s="26"/>
      <c r="PHE11" s="26"/>
      <c r="PHF11" s="27"/>
      <c r="PHG11" s="28"/>
      <c r="PHH11" s="26"/>
      <c r="PHI11" s="26"/>
      <c r="PHK11" s="25"/>
      <c r="PHL11" s="26"/>
      <c r="PHM11" s="26"/>
      <c r="PHN11" s="27"/>
      <c r="PHO11" s="28"/>
      <c r="PHP11" s="26"/>
      <c r="PHQ11" s="26"/>
      <c r="PHS11" s="25"/>
      <c r="PHT11" s="26"/>
      <c r="PHU11" s="26"/>
      <c r="PHV11" s="27"/>
      <c r="PHW11" s="28"/>
      <c r="PHX11" s="26"/>
      <c r="PHY11" s="26"/>
      <c r="PIA11" s="25"/>
      <c r="PIB11" s="26"/>
      <c r="PIC11" s="26"/>
      <c r="PID11" s="27"/>
      <c r="PIE11" s="28"/>
      <c r="PIF11" s="26"/>
      <c r="PIG11" s="26"/>
      <c r="PII11" s="25"/>
      <c r="PIJ11" s="26"/>
      <c r="PIK11" s="26"/>
      <c r="PIL11" s="27"/>
      <c r="PIM11" s="28"/>
      <c r="PIN11" s="26"/>
      <c r="PIO11" s="26"/>
      <c r="PIQ11" s="25"/>
      <c r="PIR11" s="26"/>
      <c r="PIS11" s="26"/>
      <c r="PIT11" s="27"/>
      <c r="PIU11" s="28"/>
      <c r="PIV11" s="26"/>
      <c r="PIW11" s="26"/>
      <c r="PIY11" s="25"/>
      <c r="PIZ11" s="26"/>
      <c r="PJA11" s="26"/>
      <c r="PJB11" s="27"/>
      <c r="PJC11" s="28"/>
      <c r="PJD11" s="26"/>
      <c r="PJE11" s="26"/>
      <c r="PJG11" s="25"/>
      <c r="PJH11" s="26"/>
      <c r="PJI11" s="26"/>
      <c r="PJJ11" s="27"/>
      <c r="PJK11" s="28"/>
      <c r="PJL11" s="26"/>
      <c r="PJM11" s="26"/>
      <c r="PJO11" s="25"/>
      <c r="PJP11" s="26"/>
      <c r="PJQ11" s="26"/>
      <c r="PJR11" s="27"/>
      <c r="PJS11" s="28"/>
      <c r="PJT11" s="26"/>
      <c r="PJU11" s="26"/>
      <c r="PJW11" s="25"/>
      <c r="PJX11" s="26"/>
      <c r="PJY11" s="26"/>
      <c r="PJZ11" s="27"/>
      <c r="PKA11" s="28"/>
      <c r="PKB11" s="26"/>
      <c r="PKC11" s="26"/>
      <c r="PKE11" s="25"/>
      <c r="PKF11" s="26"/>
      <c r="PKG11" s="26"/>
      <c r="PKH11" s="27"/>
      <c r="PKI11" s="28"/>
      <c r="PKJ11" s="26"/>
      <c r="PKK11" s="26"/>
      <c r="PKM11" s="25"/>
      <c r="PKN11" s="26"/>
      <c r="PKO11" s="26"/>
      <c r="PKP11" s="27"/>
      <c r="PKQ11" s="28"/>
      <c r="PKR11" s="26"/>
      <c r="PKS11" s="26"/>
      <c r="PKU11" s="25"/>
      <c r="PKV11" s="26"/>
      <c r="PKW11" s="26"/>
      <c r="PKX11" s="27"/>
      <c r="PKY11" s="28"/>
      <c r="PKZ11" s="26"/>
      <c r="PLA11" s="26"/>
      <c r="PLC11" s="25"/>
      <c r="PLD11" s="26"/>
      <c r="PLE11" s="26"/>
      <c r="PLF11" s="27"/>
      <c r="PLG11" s="28"/>
      <c r="PLH11" s="26"/>
      <c r="PLI11" s="26"/>
      <c r="PLK11" s="25"/>
      <c r="PLL11" s="26"/>
      <c r="PLM11" s="26"/>
      <c r="PLN11" s="27"/>
      <c r="PLO11" s="28"/>
      <c r="PLP11" s="26"/>
      <c r="PLQ11" s="26"/>
      <c r="PLS11" s="25"/>
      <c r="PLT11" s="26"/>
      <c r="PLU11" s="26"/>
      <c r="PLV11" s="27"/>
      <c r="PLW11" s="28"/>
      <c r="PLX11" s="26"/>
      <c r="PLY11" s="26"/>
      <c r="PMA11" s="25"/>
      <c r="PMB11" s="26"/>
      <c r="PMC11" s="26"/>
      <c r="PMD11" s="27"/>
      <c r="PME11" s="28"/>
      <c r="PMF11" s="26"/>
      <c r="PMG11" s="26"/>
      <c r="PMI11" s="25"/>
      <c r="PMJ11" s="26"/>
      <c r="PMK11" s="26"/>
      <c r="PML11" s="27"/>
      <c r="PMM11" s="28"/>
      <c r="PMN11" s="26"/>
      <c r="PMO11" s="26"/>
      <c r="PMQ11" s="25"/>
      <c r="PMR11" s="26"/>
      <c r="PMS11" s="26"/>
      <c r="PMT11" s="27"/>
      <c r="PMU11" s="28"/>
      <c r="PMV11" s="26"/>
      <c r="PMW11" s="26"/>
      <c r="PMY11" s="25"/>
      <c r="PMZ11" s="26"/>
      <c r="PNA11" s="26"/>
      <c r="PNB11" s="27"/>
      <c r="PNC11" s="28"/>
      <c r="PND11" s="26"/>
      <c r="PNE11" s="26"/>
      <c r="PNG11" s="25"/>
      <c r="PNH11" s="26"/>
      <c r="PNI11" s="26"/>
      <c r="PNJ11" s="27"/>
      <c r="PNK11" s="28"/>
      <c r="PNL11" s="26"/>
      <c r="PNM11" s="26"/>
      <c r="PNO11" s="25"/>
      <c r="PNP11" s="26"/>
      <c r="PNQ11" s="26"/>
      <c r="PNR11" s="27"/>
      <c r="PNS11" s="28"/>
      <c r="PNT11" s="26"/>
      <c r="PNU11" s="26"/>
      <c r="PNW11" s="25"/>
      <c r="PNX11" s="26"/>
      <c r="PNY11" s="26"/>
      <c r="PNZ11" s="27"/>
      <c r="POA11" s="28"/>
      <c r="POB11" s="26"/>
      <c r="POC11" s="26"/>
      <c r="POE11" s="25"/>
      <c r="POF11" s="26"/>
      <c r="POG11" s="26"/>
      <c r="POH11" s="27"/>
      <c r="POI11" s="28"/>
      <c r="POJ11" s="26"/>
      <c r="POK11" s="26"/>
      <c r="POM11" s="25"/>
      <c r="PON11" s="26"/>
      <c r="POO11" s="26"/>
      <c r="POP11" s="27"/>
      <c r="POQ11" s="28"/>
      <c r="POR11" s="26"/>
      <c r="POS11" s="26"/>
      <c r="POU11" s="25"/>
      <c r="POV11" s="26"/>
      <c r="POW11" s="26"/>
      <c r="POX11" s="27"/>
      <c r="POY11" s="28"/>
      <c r="POZ11" s="26"/>
      <c r="PPA11" s="26"/>
      <c r="PPC11" s="25"/>
      <c r="PPD11" s="26"/>
      <c r="PPE11" s="26"/>
      <c r="PPF11" s="27"/>
      <c r="PPG11" s="28"/>
      <c r="PPH11" s="26"/>
      <c r="PPI11" s="26"/>
      <c r="PPK11" s="25"/>
      <c r="PPL11" s="26"/>
      <c r="PPM11" s="26"/>
      <c r="PPN11" s="27"/>
      <c r="PPO11" s="28"/>
      <c r="PPP11" s="26"/>
      <c r="PPQ11" s="26"/>
      <c r="PPS11" s="25"/>
      <c r="PPT11" s="26"/>
      <c r="PPU11" s="26"/>
      <c r="PPV11" s="27"/>
      <c r="PPW11" s="28"/>
      <c r="PPX11" s="26"/>
      <c r="PPY11" s="26"/>
      <c r="PQA11" s="25"/>
      <c r="PQB11" s="26"/>
      <c r="PQC11" s="26"/>
      <c r="PQD11" s="27"/>
      <c r="PQE11" s="28"/>
      <c r="PQF11" s="26"/>
      <c r="PQG11" s="26"/>
      <c r="PQI11" s="25"/>
      <c r="PQJ11" s="26"/>
      <c r="PQK11" s="26"/>
      <c r="PQL11" s="27"/>
      <c r="PQM11" s="28"/>
      <c r="PQN11" s="26"/>
      <c r="PQO11" s="26"/>
      <c r="PQQ11" s="25"/>
      <c r="PQR11" s="26"/>
      <c r="PQS11" s="26"/>
      <c r="PQT11" s="27"/>
      <c r="PQU11" s="28"/>
      <c r="PQV11" s="26"/>
      <c r="PQW11" s="26"/>
      <c r="PQY11" s="25"/>
      <c r="PQZ11" s="26"/>
      <c r="PRA11" s="26"/>
      <c r="PRB11" s="27"/>
      <c r="PRC11" s="28"/>
      <c r="PRD11" s="26"/>
      <c r="PRE11" s="26"/>
      <c r="PRG11" s="25"/>
      <c r="PRH11" s="26"/>
      <c r="PRI11" s="26"/>
      <c r="PRJ11" s="27"/>
      <c r="PRK11" s="28"/>
      <c r="PRL11" s="26"/>
      <c r="PRM11" s="26"/>
      <c r="PRO11" s="25"/>
      <c r="PRP11" s="26"/>
      <c r="PRQ11" s="26"/>
      <c r="PRR11" s="27"/>
      <c r="PRS11" s="28"/>
      <c r="PRT11" s="26"/>
      <c r="PRU11" s="26"/>
      <c r="PRW11" s="25"/>
      <c r="PRX11" s="26"/>
      <c r="PRY11" s="26"/>
      <c r="PRZ11" s="27"/>
      <c r="PSA11" s="28"/>
      <c r="PSB11" s="26"/>
      <c r="PSC11" s="26"/>
      <c r="PSE11" s="25"/>
      <c r="PSF11" s="26"/>
      <c r="PSG11" s="26"/>
      <c r="PSH11" s="27"/>
      <c r="PSI11" s="28"/>
      <c r="PSJ11" s="26"/>
      <c r="PSK11" s="26"/>
      <c r="PSM11" s="25"/>
      <c r="PSN11" s="26"/>
      <c r="PSO11" s="26"/>
      <c r="PSP11" s="27"/>
      <c r="PSQ11" s="28"/>
      <c r="PSR11" s="26"/>
      <c r="PSS11" s="26"/>
      <c r="PSU11" s="25"/>
      <c r="PSV11" s="26"/>
      <c r="PSW11" s="26"/>
      <c r="PSX11" s="27"/>
      <c r="PSY11" s="28"/>
      <c r="PSZ11" s="26"/>
      <c r="PTA11" s="26"/>
      <c r="PTC11" s="25"/>
      <c r="PTD11" s="26"/>
      <c r="PTE11" s="26"/>
      <c r="PTF11" s="27"/>
      <c r="PTG11" s="28"/>
      <c r="PTH11" s="26"/>
      <c r="PTI11" s="26"/>
      <c r="PTK11" s="25"/>
      <c r="PTL11" s="26"/>
      <c r="PTM11" s="26"/>
      <c r="PTN11" s="27"/>
      <c r="PTO11" s="28"/>
      <c r="PTP11" s="26"/>
      <c r="PTQ11" s="26"/>
      <c r="PTS11" s="25"/>
      <c r="PTT11" s="26"/>
      <c r="PTU11" s="26"/>
      <c r="PTV11" s="27"/>
      <c r="PTW11" s="28"/>
      <c r="PTX11" s="26"/>
      <c r="PTY11" s="26"/>
      <c r="PUA11" s="25"/>
      <c r="PUB11" s="26"/>
      <c r="PUC11" s="26"/>
      <c r="PUD11" s="27"/>
      <c r="PUE11" s="28"/>
      <c r="PUF11" s="26"/>
      <c r="PUG11" s="26"/>
      <c r="PUI11" s="25"/>
      <c r="PUJ11" s="26"/>
      <c r="PUK11" s="26"/>
      <c r="PUL11" s="27"/>
      <c r="PUM11" s="28"/>
      <c r="PUN11" s="26"/>
      <c r="PUO11" s="26"/>
      <c r="PUQ11" s="25"/>
      <c r="PUR11" s="26"/>
      <c r="PUS11" s="26"/>
      <c r="PUT11" s="27"/>
      <c r="PUU11" s="28"/>
      <c r="PUV11" s="26"/>
      <c r="PUW11" s="26"/>
      <c r="PUY11" s="25"/>
      <c r="PUZ11" s="26"/>
      <c r="PVA11" s="26"/>
      <c r="PVB11" s="27"/>
      <c r="PVC11" s="28"/>
      <c r="PVD11" s="26"/>
      <c r="PVE11" s="26"/>
      <c r="PVG11" s="25"/>
      <c r="PVH11" s="26"/>
      <c r="PVI11" s="26"/>
      <c r="PVJ11" s="27"/>
      <c r="PVK11" s="28"/>
      <c r="PVL11" s="26"/>
      <c r="PVM11" s="26"/>
      <c r="PVO11" s="25"/>
      <c r="PVP11" s="26"/>
      <c r="PVQ11" s="26"/>
      <c r="PVR11" s="27"/>
      <c r="PVS11" s="28"/>
      <c r="PVT11" s="26"/>
      <c r="PVU11" s="26"/>
      <c r="PVW11" s="25"/>
      <c r="PVX11" s="26"/>
      <c r="PVY11" s="26"/>
      <c r="PVZ11" s="27"/>
      <c r="PWA11" s="28"/>
      <c r="PWB11" s="26"/>
      <c r="PWC11" s="26"/>
      <c r="PWE11" s="25"/>
      <c r="PWF11" s="26"/>
      <c r="PWG11" s="26"/>
      <c r="PWH11" s="27"/>
      <c r="PWI11" s="28"/>
      <c r="PWJ11" s="26"/>
      <c r="PWK11" s="26"/>
      <c r="PWM11" s="25"/>
      <c r="PWN11" s="26"/>
      <c r="PWO11" s="26"/>
      <c r="PWP11" s="27"/>
      <c r="PWQ11" s="28"/>
      <c r="PWR11" s="26"/>
      <c r="PWS11" s="26"/>
      <c r="PWU11" s="25"/>
      <c r="PWV11" s="26"/>
      <c r="PWW11" s="26"/>
      <c r="PWX11" s="27"/>
      <c r="PWY11" s="28"/>
      <c r="PWZ11" s="26"/>
      <c r="PXA11" s="26"/>
      <c r="PXC11" s="25"/>
      <c r="PXD11" s="26"/>
      <c r="PXE11" s="26"/>
      <c r="PXF11" s="27"/>
      <c r="PXG11" s="28"/>
      <c r="PXH11" s="26"/>
      <c r="PXI11" s="26"/>
      <c r="PXK11" s="25"/>
      <c r="PXL11" s="26"/>
      <c r="PXM11" s="26"/>
      <c r="PXN11" s="27"/>
      <c r="PXO11" s="28"/>
      <c r="PXP11" s="26"/>
      <c r="PXQ11" s="26"/>
      <c r="PXS11" s="25"/>
      <c r="PXT11" s="26"/>
      <c r="PXU11" s="26"/>
      <c r="PXV11" s="27"/>
      <c r="PXW11" s="28"/>
      <c r="PXX11" s="26"/>
      <c r="PXY11" s="26"/>
      <c r="PYA11" s="25"/>
      <c r="PYB11" s="26"/>
      <c r="PYC11" s="26"/>
      <c r="PYD11" s="27"/>
      <c r="PYE11" s="28"/>
      <c r="PYF11" s="26"/>
      <c r="PYG11" s="26"/>
      <c r="PYI11" s="25"/>
      <c r="PYJ11" s="26"/>
      <c r="PYK11" s="26"/>
      <c r="PYL11" s="27"/>
      <c r="PYM11" s="28"/>
      <c r="PYN11" s="26"/>
      <c r="PYO11" s="26"/>
      <c r="PYQ11" s="25"/>
      <c r="PYR11" s="26"/>
      <c r="PYS11" s="26"/>
      <c r="PYT11" s="27"/>
      <c r="PYU11" s="28"/>
      <c r="PYV11" s="26"/>
      <c r="PYW11" s="26"/>
      <c r="PYY11" s="25"/>
      <c r="PYZ11" s="26"/>
      <c r="PZA11" s="26"/>
      <c r="PZB11" s="27"/>
      <c r="PZC11" s="28"/>
      <c r="PZD11" s="26"/>
      <c r="PZE11" s="26"/>
      <c r="PZG11" s="25"/>
      <c r="PZH11" s="26"/>
      <c r="PZI11" s="26"/>
      <c r="PZJ11" s="27"/>
      <c r="PZK11" s="28"/>
      <c r="PZL11" s="26"/>
      <c r="PZM11" s="26"/>
      <c r="PZO11" s="25"/>
      <c r="PZP11" s="26"/>
      <c r="PZQ11" s="26"/>
      <c r="PZR11" s="27"/>
      <c r="PZS11" s="28"/>
      <c r="PZT11" s="26"/>
      <c r="PZU11" s="26"/>
      <c r="PZW11" s="25"/>
      <c r="PZX11" s="26"/>
      <c r="PZY11" s="26"/>
      <c r="PZZ11" s="27"/>
      <c r="QAA11" s="28"/>
      <c r="QAB11" s="26"/>
      <c r="QAC11" s="26"/>
      <c r="QAE11" s="25"/>
      <c r="QAF11" s="26"/>
      <c r="QAG11" s="26"/>
      <c r="QAH11" s="27"/>
      <c r="QAI11" s="28"/>
      <c r="QAJ11" s="26"/>
      <c r="QAK11" s="26"/>
      <c r="QAM11" s="25"/>
      <c r="QAN11" s="26"/>
      <c r="QAO11" s="26"/>
      <c r="QAP11" s="27"/>
      <c r="QAQ11" s="28"/>
      <c r="QAR11" s="26"/>
      <c r="QAS11" s="26"/>
      <c r="QAU11" s="25"/>
      <c r="QAV11" s="26"/>
      <c r="QAW11" s="26"/>
      <c r="QAX11" s="27"/>
      <c r="QAY11" s="28"/>
      <c r="QAZ11" s="26"/>
      <c r="QBA11" s="26"/>
      <c r="QBC11" s="25"/>
      <c r="QBD11" s="26"/>
      <c r="QBE11" s="26"/>
      <c r="QBF11" s="27"/>
      <c r="QBG11" s="28"/>
      <c r="QBH11" s="26"/>
      <c r="QBI11" s="26"/>
      <c r="QBK11" s="25"/>
      <c r="QBL11" s="26"/>
      <c r="QBM11" s="26"/>
      <c r="QBN11" s="27"/>
      <c r="QBO11" s="28"/>
      <c r="QBP11" s="26"/>
      <c r="QBQ11" s="26"/>
      <c r="QBS11" s="25"/>
      <c r="QBT11" s="26"/>
      <c r="QBU11" s="26"/>
      <c r="QBV11" s="27"/>
      <c r="QBW11" s="28"/>
      <c r="QBX11" s="26"/>
      <c r="QBY11" s="26"/>
      <c r="QCA11" s="25"/>
      <c r="QCB11" s="26"/>
      <c r="QCC11" s="26"/>
      <c r="QCD11" s="27"/>
      <c r="QCE11" s="28"/>
      <c r="QCF11" s="26"/>
      <c r="QCG11" s="26"/>
      <c r="QCI11" s="25"/>
      <c r="QCJ11" s="26"/>
      <c r="QCK11" s="26"/>
      <c r="QCL11" s="27"/>
      <c r="QCM11" s="28"/>
      <c r="QCN11" s="26"/>
      <c r="QCO11" s="26"/>
      <c r="QCQ11" s="25"/>
      <c r="QCR11" s="26"/>
      <c r="QCS11" s="26"/>
      <c r="QCT11" s="27"/>
      <c r="QCU11" s="28"/>
      <c r="QCV11" s="26"/>
      <c r="QCW11" s="26"/>
      <c r="QCY11" s="25"/>
      <c r="QCZ11" s="26"/>
      <c r="QDA11" s="26"/>
      <c r="QDB11" s="27"/>
      <c r="QDC11" s="28"/>
      <c r="QDD11" s="26"/>
      <c r="QDE11" s="26"/>
      <c r="QDG11" s="25"/>
      <c r="QDH11" s="26"/>
      <c r="QDI11" s="26"/>
      <c r="QDJ11" s="27"/>
      <c r="QDK11" s="28"/>
      <c r="QDL11" s="26"/>
      <c r="QDM11" s="26"/>
      <c r="QDO11" s="25"/>
      <c r="QDP11" s="26"/>
      <c r="QDQ11" s="26"/>
      <c r="QDR11" s="27"/>
      <c r="QDS11" s="28"/>
      <c r="QDT11" s="26"/>
      <c r="QDU11" s="26"/>
      <c r="QDW11" s="25"/>
      <c r="QDX11" s="26"/>
      <c r="QDY11" s="26"/>
      <c r="QDZ11" s="27"/>
      <c r="QEA11" s="28"/>
      <c r="QEB11" s="26"/>
      <c r="QEC11" s="26"/>
      <c r="QEE11" s="25"/>
      <c r="QEF11" s="26"/>
      <c r="QEG11" s="26"/>
      <c r="QEH11" s="27"/>
      <c r="QEI11" s="28"/>
      <c r="QEJ11" s="26"/>
      <c r="QEK11" s="26"/>
      <c r="QEM11" s="25"/>
      <c r="QEN11" s="26"/>
      <c r="QEO11" s="26"/>
      <c r="QEP11" s="27"/>
      <c r="QEQ11" s="28"/>
      <c r="QER11" s="26"/>
      <c r="QES11" s="26"/>
      <c r="QEU11" s="25"/>
      <c r="QEV11" s="26"/>
      <c r="QEW11" s="26"/>
      <c r="QEX11" s="27"/>
      <c r="QEY11" s="28"/>
      <c r="QEZ11" s="26"/>
      <c r="QFA11" s="26"/>
      <c r="QFC11" s="25"/>
      <c r="QFD11" s="26"/>
      <c r="QFE11" s="26"/>
      <c r="QFF11" s="27"/>
      <c r="QFG11" s="28"/>
      <c r="QFH11" s="26"/>
      <c r="QFI11" s="26"/>
      <c r="QFK11" s="25"/>
      <c r="QFL11" s="26"/>
      <c r="QFM11" s="26"/>
      <c r="QFN11" s="27"/>
      <c r="QFO11" s="28"/>
      <c r="QFP11" s="26"/>
      <c r="QFQ11" s="26"/>
      <c r="QFS11" s="25"/>
      <c r="QFT11" s="26"/>
      <c r="QFU11" s="26"/>
      <c r="QFV11" s="27"/>
      <c r="QFW11" s="28"/>
      <c r="QFX11" s="26"/>
      <c r="QFY11" s="26"/>
      <c r="QGA11" s="25"/>
      <c r="QGB11" s="26"/>
      <c r="QGC11" s="26"/>
      <c r="QGD11" s="27"/>
      <c r="QGE11" s="28"/>
      <c r="QGF11" s="26"/>
      <c r="QGG11" s="26"/>
      <c r="QGI11" s="25"/>
      <c r="QGJ11" s="26"/>
      <c r="QGK11" s="26"/>
      <c r="QGL11" s="27"/>
      <c r="QGM11" s="28"/>
      <c r="QGN11" s="26"/>
      <c r="QGO11" s="26"/>
      <c r="QGQ11" s="25"/>
      <c r="QGR11" s="26"/>
      <c r="QGS11" s="26"/>
      <c r="QGT11" s="27"/>
      <c r="QGU11" s="28"/>
      <c r="QGV11" s="26"/>
      <c r="QGW11" s="26"/>
      <c r="QGY11" s="25"/>
      <c r="QGZ11" s="26"/>
      <c r="QHA11" s="26"/>
      <c r="QHB11" s="27"/>
      <c r="QHC11" s="28"/>
      <c r="QHD11" s="26"/>
      <c r="QHE11" s="26"/>
      <c r="QHG11" s="25"/>
      <c r="QHH11" s="26"/>
      <c r="QHI11" s="26"/>
      <c r="QHJ11" s="27"/>
      <c r="QHK11" s="28"/>
      <c r="QHL11" s="26"/>
      <c r="QHM11" s="26"/>
      <c r="QHO11" s="25"/>
      <c r="QHP11" s="26"/>
      <c r="QHQ11" s="26"/>
      <c r="QHR11" s="27"/>
      <c r="QHS11" s="28"/>
      <c r="QHT11" s="26"/>
      <c r="QHU11" s="26"/>
      <c r="QHW11" s="25"/>
      <c r="QHX11" s="26"/>
      <c r="QHY11" s="26"/>
      <c r="QHZ11" s="27"/>
      <c r="QIA11" s="28"/>
      <c r="QIB11" s="26"/>
      <c r="QIC11" s="26"/>
      <c r="QIE11" s="25"/>
      <c r="QIF11" s="26"/>
      <c r="QIG11" s="26"/>
      <c r="QIH11" s="27"/>
      <c r="QII11" s="28"/>
      <c r="QIJ11" s="26"/>
      <c r="QIK11" s="26"/>
      <c r="QIM11" s="25"/>
      <c r="QIN11" s="26"/>
      <c r="QIO11" s="26"/>
      <c r="QIP11" s="27"/>
      <c r="QIQ11" s="28"/>
      <c r="QIR11" s="26"/>
      <c r="QIS11" s="26"/>
      <c r="QIU11" s="25"/>
      <c r="QIV11" s="26"/>
      <c r="QIW11" s="26"/>
      <c r="QIX11" s="27"/>
      <c r="QIY11" s="28"/>
      <c r="QIZ11" s="26"/>
      <c r="QJA11" s="26"/>
      <c r="QJC11" s="25"/>
      <c r="QJD11" s="26"/>
      <c r="QJE11" s="26"/>
      <c r="QJF11" s="27"/>
      <c r="QJG11" s="28"/>
      <c r="QJH11" s="26"/>
      <c r="QJI11" s="26"/>
      <c r="QJK11" s="25"/>
      <c r="QJL11" s="26"/>
      <c r="QJM11" s="26"/>
      <c r="QJN11" s="27"/>
      <c r="QJO11" s="28"/>
      <c r="QJP11" s="26"/>
      <c r="QJQ11" s="26"/>
      <c r="QJS11" s="25"/>
      <c r="QJT11" s="26"/>
      <c r="QJU11" s="26"/>
      <c r="QJV11" s="27"/>
      <c r="QJW11" s="28"/>
      <c r="QJX11" s="26"/>
      <c r="QJY11" s="26"/>
      <c r="QKA11" s="25"/>
      <c r="QKB11" s="26"/>
      <c r="QKC11" s="26"/>
      <c r="QKD11" s="27"/>
      <c r="QKE11" s="28"/>
      <c r="QKF11" s="26"/>
      <c r="QKG11" s="26"/>
      <c r="QKI11" s="25"/>
      <c r="QKJ11" s="26"/>
      <c r="QKK11" s="26"/>
      <c r="QKL11" s="27"/>
      <c r="QKM11" s="28"/>
      <c r="QKN11" s="26"/>
      <c r="QKO11" s="26"/>
      <c r="QKQ11" s="25"/>
      <c r="QKR11" s="26"/>
      <c r="QKS11" s="26"/>
      <c r="QKT11" s="27"/>
      <c r="QKU11" s="28"/>
      <c r="QKV11" s="26"/>
      <c r="QKW11" s="26"/>
      <c r="QKY11" s="25"/>
      <c r="QKZ11" s="26"/>
      <c r="QLA11" s="26"/>
      <c r="QLB11" s="27"/>
      <c r="QLC11" s="28"/>
      <c r="QLD11" s="26"/>
      <c r="QLE11" s="26"/>
      <c r="QLG11" s="25"/>
      <c r="QLH11" s="26"/>
      <c r="QLI11" s="26"/>
      <c r="QLJ11" s="27"/>
      <c r="QLK11" s="28"/>
      <c r="QLL11" s="26"/>
      <c r="QLM11" s="26"/>
      <c r="QLO11" s="25"/>
      <c r="QLP11" s="26"/>
      <c r="QLQ11" s="26"/>
      <c r="QLR11" s="27"/>
      <c r="QLS11" s="28"/>
      <c r="QLT11" s="26"/>
      <c r="QLU11" s="26"/>
      <c r="QLW11" s="25"/>
      <c r="QLX11" s="26"/>
      <c r="QLY11" s="26"/>
      <c r="QLZ11" s="27"/>
      <c r="QMA11" s="28"/>
      <c r="QMB11" s="26"/>
      <c r="QMC11" s="26"/>
      <c r="QME11" s="25"/>
      <c r="QMF11" s="26"/>
      <c r="QMG11" s="26"/>
      <c r="QMH11" s="27"/>
      <c r="QMI11" s="28"/>
      <c r="QMJ11" s="26"/>
      <c r="QMK11" s="26"/>
      <c r="QMM11" s="25"/>
      <c r="QMN11" s="26"/>
      <c r="QMO11" s="26"/>
      <c r="QMP11" s="27"/>
      <c r="QMQ11" s="28"/>
      <c r="QMR11" s="26"/>
      <c r="QMS11" s="26"/>
      <c r="QMU11" s="25"/>
      <c r="QMV11" s="26"/>
      <c r="QMW11" s="26"/>
      <c r="QMX11" s="27"/>
      <c r="QMY11" s="28"/>
      <c r="QMZ11" s="26"/>
      <c r="QNA11" s="26"/>
      <c r="QNC11" s="25"/>
      <c r="QND11" s="26"/>
      <c r="QNE11" s="26"/>
      <c r="QNF11" s="27"/>
      <c r="QNG11" s="28"/>
      <c r="QNH11" s="26"/>
      <c r="QNI11" s="26"/>
      <c r="QNK11" s="25"/>
      <c r="QNL11" s="26"/>
      <c r="QNM11" s="26"/>
      <c r="QNN11" s="27"/>
      <c r="QNO11" s="28"/>
      <c r="QNP11" s="26"/>
      <c r="QNQ11" s="26"/>
      <c r="QNS11" s="25"/>
      <c r="QNT11" s="26"/>
      <c r="QNU11" s="26"/>
      <c r="QNV11" s="27"/>
      <c r="QNW11" s="28"/>
      <c r="QNX11" s="26"/>
      <c r="QNY11" s="26"/>
      <c r="QOA11" s="25"/>
      <c r="QOB11" s="26"/>
      <c r="QOC11" s="26"/>
      <c r="QOD11" s="27"/>
      <c r="QOE11" s="28"/>
      <c r="QOF11" s="26"/>
      <c r="QOG11" s="26"/>
      <c r="QOI11" s="25"/>
      <c r="QOJ11" s="26"/>
      <c r="QOK11" s="26"/>
      <c r="QOL11" s="27"/>
      <c r="QOM11" s="28"/>
      <c r="QON11" s="26"/>
      <c r="QOO11" s="26"/>
      <c r="QOQ11" s="25"/>
      <c r="QOR11" s="26"/>
      <c r="QOS11" s="26"/>
      <c r="QOT11" s="27"/>
      <c r="QOU11" s="28"/>
      <c r="QOV11" s="26"/>
      <c r="QOW11" s="26"/>
      <c r="QOY11" s="25"/>
      <c r="QOZ11" s="26"/>
      <c r="QPA11" s="26"/>
      <c r="QPB11" s="27"/>
      <c r="QPC11" s="28"/>
      <c r="QPD11" s="26"/>
      <c r="QPE11" s="26"/>
      <c r="QPG11" s="25"/>
      <c r="QPH11" s="26"/>
      <c r="QPI11" s="26"/>
      <c r="QPJ11" s="27"/>
      <c r="QPK11" s="28"/>
      <c r="QPL11" s="26"/>
      <c r="QPM11" s="26"/>
      <c r="QPO11" s="25"/>
      <c r="QPP11" s="26"/>
      <c r="QPQ11" s="26"/>
      <c r="QPR11" s="27"/>
      <c r="QPS11" s="28"/>
      <c r="QPT11" s="26"/>
      <c r="QPU11" s="26"/>
      <c r="QPW11" s="25"/>
      <c r="QPX11" s="26"/>
      <c r="QPY11" s="26"/>
      <c r="QPZ11" s="27"/>
      <c r="QQA11" s="28"/>
      <c r="QQB11" s="26"/>
      <c r="QQC11" s="26"/>
      <c r="QQE11" s="25"/>
      <c r="QQF11" s="26"/>
      <c r="QQG11" s="26"/>
      <c r="QQH11" s="27"/>
      <c r="QQI11" s="28"/>
      <c r="QQJ11" s="26"/>
      <c r="QQK11" s="26"/>
      <c r="QQM11" s="25"/>
      <c r="QQN11" s="26"/>
      <c r="QQO11" s="26"/>
      <c r="QQP11" s="27"/>
      <c r="QQQ11" s="28"/>
      <c r="QQR11" s="26"/>
      <c r="QQS11" s="26"/>
      <c r="QQU11" s="25"/>
      <c r="QQV11" s="26"/>
      <c r="QQW11" s="26"/>
      <c r="QQX11" s="27"/>
      <c r="QQY11" s="28"/>
      <c r="QQZ11" s="26"/>
      <c r="QRA11" s="26"/>
      <c r="QRC11" s="25"/>
      <c r="QRD11" s="26"/>
      <c r="QRE11" s="26"/>
      <c r="QRF11" s="27"/>
      <c r="QRG11" s="28"/>
      <c r="QRH11" s="26"/>
      <c r="QRI11" s="26"/>
      <c r="QRK11" s="25"/>
      <c r="QRL11" s="26"/>
      <c r="QRM11" s="26"/>
      <c r="QRN11" s="27"/>
      <c r="QRO11" s="28"/>
      <c r="QRP11" s="26"/>
      <c r="QRQ11" s="26"/>
      <c r="QRS11" s="25"/>
      <c r="QRT11" s="26"/>
      <c r="QRU11" s="26"/>
      <c r="QRV11" s="27"/>
      <c r="QRW11" s="28"/>
      <c r="QRX11" s="26"/>
      <c r="QRY11" s="26"/>
      <c r="QSA11" s="25"/>
      <c r="QSB11" s="26"/>
      <c r="QSC11" s="26"/>
      <c r="QSD11" s="27"/>
      <c r="QSE11" s="28"/>
      <c r="QSF11" s="26"/>
      <c r="QSG11" s="26"/>
      <c r="QSI11" s="25"/>
      <c r="QSJ11" s="26"/>
      <c r="QSK11" s="26"/>
      <c r="QSL11" s="27"/>
      <c r="QSM11" s="28"/>
      <c r="QSN11" s="26"/>
      <c r="QSO11" s="26"/>
      <c r="QSQ11" s="25"/>
      <c r="QSR11" s="26"/>
      <c r="QSS11" s="26"/>
      <c r="QST11" s="27"/>
      <c r="QSU11" s="28"/>
      <c r="QSV11" s="26"/>
      <c r="QSW11" s="26"/>
      <c r="QSY11" s="25"/>
      <c r="QSZ11" s="26"/>
      <c r="QTA11" s="26"/>
      <c r="QTB11" s="27"/>
      <c r="QTC11" s="28"/>
      <c r="QTD11" s="26"/>
      <c r="QTE11" s="26"/>
      <c r="QTG11" s="25"/>
      <c r="QTH11" s="26"/>
      <c r="QTI11" s="26"/>
      <c r="QTJ11" s="27"/>
      <c r="QTK11" s="28"/>
      <c r="QTL11" s="26"/>
      <c r="QTM11" s="26"/>
      <c r="QTO11" s="25"/>
      <c r="QTP11" s="26"/>
      <c r="QTQ11" s="26"/>
      <c r="QTR11" s="27"/>
      <c r="QTS11" s="28"/>
      <c r="QTT11" s="26"/>
      <c r="QTU11" s="26"/>
      <c r="QTW11" s="25"/>
      <c r="QTX11" s="26"/>
      <c r="QTY11" s="26"/>
      <c r="QTZ11" s="27"/>
      <c r="QUA11" s="28"/>
      <c r="QUB11" s="26"/>
      <c r="QUC11" s="26"/>
      <c r="QUE11" s="25"/>
      <c r="QUF11" s="26"/>
      <c r="QUG11" s="26"/>
      <c r="QUH11" s="27"/>
      <c r="QUI11" s="28"/>
      <c r="QUJ11" s="26"/>
      <c r="QUK11" s="26"/>
      <c r="QUM11" s="25"/>
      <c r="QUN11" s="26"/>
      <c r="QUO11" s="26"/>
      <c r="QUP11" s="27"/>
      <c r="QUQ11" s="28"/>
      <c r="QUR11" s="26"/>
      <c r="QUS11" s="26"/>
      <c r="QUU11" s="25"/>
      <c r="QUV11" s="26"/>
      <c r="QUW11" s="26"/>
      <c r="QUX11" s="27"/>
      <c r="QUY11" s="28"/>
      <c r="QUZ11" s="26"/>
      <c r="QVA11" s="26"/>
      <c r="QVC11" s="25"/>
      <c r="QVD11" s="26"/>
      <c r="QVE11" s="26"/>
      <c r="QVF11" s="27"/>
      <c r="QVG11" s="28"/>
      <c r="QVH11" s="26"/>
      <c r="QVI11" s="26"/>
      <c r="QVK11" s="25"/>
      <c r="QVL11" s="26"/>
      <c r="QVM11" s="26"/>
      <c r="QVN11" s="27"/>
      <c r="QVO11" s="28"/>
      <c r="QVP11" s="26"/>
      <c r="QVQ11" s="26"/>
      <c r="QVS11" s="25"/>
      <c r="QVT11" s="26"/>
      <c r="QVU11" s="26"/>
      <c r="QVV11" s="27"/>
      <c r="QVW11" s="28"/>
      <c r="QVX11" s="26"/>
      <c r="QVY11" s="26"/>
      <c r="QWA11" s="25"/>
      <c r="QWB11" s="26"/>
      <c r="QWC11" s="26"/>
      <c r="QWD11" s="27"/>
      <c r="QWE11" s="28"/>
      <c r="QWF11" s="26"/>
      <c r="QWG11" s="26"/>
      <c r="QWI11" s="25"/>
      <c r="QWJ11" s="26"/>
      <c r="QWK11" s="26"/>
      <c r="QWL11" s="27"/>
      <c r="QWM11" s="28"/>
      <c r="QWN11" s="26"/>
      <c r="QWO11" s="26"/>
      <c r="QWQ11" s="25"/>
      <c r="QWR11" s="26"/>
      <c r="QWS11" s="26"/>
      <c r="QWT11" s="27"/>
      <c r="QWU11" s="28"/>
      <c r="QWV11" s="26"/>
      <c r="QWW11" s="26"/>
      <c r="QWY11" s="25"/>
      <c r="QWZ11" s="26"/>
      <c r="QXA11" s="26"/>
      <c r="QXB11" s="27"/>
      <c r="QXC11" s="28"/>
      <c r="QXD11" s="26"/>
      <c r="QXE11" s="26"/>
      <c r="QXG11" s="25"/>
      <c r="QXH11" s="26"/>
      <c r="QXI11" s="26"/>
      <c r="QXJ11" s="27"/>
      <c r="QXK11" s="28"/>
      <c r="QXL11" s="26"/>
      <c r="QXM11" s="26"/>
      <c r="QXO11" s="25"/>
      <c r="QXP11" s="26"/>
      <c r="QXQ11" s="26"/>
      <c r="QXR11" s="27"/>
      <c r="QXS11" s="28"/>
      <c r="QXT11" s="26"/>
      <c r="QXU11" s="26"/>
      <c r="QXW11" s="25"/>
      <c r="QXX11" s="26"/>
      <c r="QXY11" s="26"/>
      <c r="QXZ11" s="27"/>
      <c r="QYA11" s="28"/>
      <c r="QYB11" s="26"/>
      <c r="QYC11" s="26"/>
      <c r="QYE11" s="25"/>
      <c r="QYF11" s="26"/>
      <c r="QYG11" s="26"/>
      <c r="QYH11" s="27"/>
      <c r="QYI11" s="28"/>
      <c r="QYJ11" s="26"/>
      <c r="QYK11" s="26"/>
      <c r="QYM11" s="25"/>
      <c r="QYN11" s="26"/>
      <c r="QYO11" s="26"/>
      <c r="QYP11" s="27"/>
      <c r="QYQ11" s="28"/>
      <c r="QYR11" s="26"/>
      <c r="QYS11" s="26"/>
      <c r="QYU11" s="25"/>
      <c r="QYV11" s="26"/>
      <c r="QYW11" s="26"/>
      <c r="QYX11" s="27"/>
      <c r="QYY11" s="28"/>
      <c r="QYZ11" s="26"/>
      <c r="QZA11" s="26"/>
      <c r="QZC11" s="25"/>
      <c r="QZD11" s="26"/>
      <c r="QZE11" s="26"/>
      <c r="QZF11" s="27"/>
      <c r="QZG11" s="28"/>
      <c r="QZH11" s="26"/>
      <c r="QZI11" s="26"/>
      <c r="QZK11" s="25"/>
      <c r="QZL11" s="26"/>
      <c r="QZM11" s="26"/>
      <c r="QZN11" s="27"/>
      <c r="QZO11" s="28"/>
      <c r="QZP11" s="26"/>
      <c r="QZQ11" s="26"/>
      <c r="QZS11" s="25"/>
      <c r="QZT11" s="26"/>
      <c r="QZU11" s="26"/>
      <c r="QZV11" s="27"/>
      <c r="QZW11" s="28"/>
      <c r="QZX11" s="26"/>
      <c r="QZY11" s="26"/>
      <c r="RAA11" s="25"/>
      <c r="RAB11" s="26"/>
      <c r="RAC11" s="26"/>
      <c r="RAD11" s="27"/>
      <c r="RAE11" s="28"/>
      <c r="RAF11" s="26"/>
      <c r="RAG11" s="26"/>
      <c r="RAI11" s="25"/>
      <c r="RAJ11" s="26"/>
      <c r="RAK11" s="26"/>
      <c r="RAL11" s="27"/>
      <c r="RAM11" s="28"/>
      <c r="RAN11" s="26"/>
      <c r="RAO11" s="26"/>
      <c r="RAQ11" s="25"/>
      <c r="RAR11" s="26"/>
      <c r="RAS11" s="26"/>
      <c r="RAT11" s="27"/>
      <c r="RAU11" s="28"/>
      <c r="RAV11" s="26"/>
      <c r="RAW11" s="26"/>
      <c r="RAY11" s="25"/>
      <c r="RAZ11" s="26"/>
      <c r="RBA11" s="26"/>
      <c r="RBB11" s="27"/>
      <c r="RBC11" s="28"/>
      <c r="RBD11" s="26"/>
      <c r="RBE11" s="26"/>
      <c r="RBG11" s="25"/>
      <c r="RBH11" s="26"/>
      <c r="RBI11" s="26"/>
      <c r="RBJ11" s="27"/>
      <c r="RBK11" s="28"/>
      <c r="RBL11" s="26"/>
      <c r="RBM11" s="26"/>
      <c r="RBO11" s="25"/>
      <c r="RBP11" s="26"/>
      <c r="RBQ11" s="26"/>
      <c r="RBR11" s="27"/>
      <c r="RBS11" s="28"/>
      <c r="RBT11" s="26"/>
      <c r="RBU11" s="26"/>
      <c r="RBW11" s="25"/>
      <c r="RBX11" s="26"/>
      <c r="RBY11" s="26"/>
      <c r="RBZ11" s="27"/>
      <c r="RCA11" s="28"/>
      <c r="RCB11" s="26"/>
      <c r="RCC11" s="26"/>
      <c r="RCE11" s="25"/>
      <c r="RCF11" s="26"/>
      <c r="RCG11" s="26"/>
      <c r="RCH11" s="27"/>
      <c r="RCI11" s="28"/>
      <c r="RCJ11" s="26"/>
      <c r="RCK11" s="26"/>
      <c r="RCM11" s="25"/>
      <c r="RCN11" s="26"/>
      <c r="RCO11" s="26"/>
      <c r="RCP11" s="27"/>
      <c r="RCQ11" s="28"/>
      <c r="RCR11" s="26"/>
      <c r="RCS11" s="26"/>
      <c r="RCU11" s="25"/>
      <c r="RCV11" s="26"/>
      <c r="RCW11" s="26"/>
      <c r="RCX11" s="27"/>
      <c r="RCY11" s="28"/>
      <c r="RCZ11" s="26"/>
      <c r="RDA11" s="26"/>
      <c r="RDC11" s="25"/>
      <c r="RDD11" s="26"/>
      <c r="RDE11" s="26"/>
      <c r="RDF11" s="27"/>
      <c r="RDG11" s="28"/>
      <c r="RDH11" s="26"/>
      <c r="RDI11" s="26"/>
      <c r="RDK11" s="25"/>
      <c r="RDL11" s="26"/>
      <c r="RDM11" s="26"/>
      <c r="RDN11" s="27"/>
      <c r="RDO11" s="28"/>
      <c r="RDP11" s="26"/>
      <c r="RDQ11" s="26"/>
      <c r="RDS11" s="25"/>
      <c r="RDT11" s="26"/>
      <c r="RDU11" s="26"/>
      <c r="RDV11" s="27"/>
      <c r="RDW11" s="28"/>
      <c r="RDX11" s="26"/>
      <c r="RDY11" s="26"/>
      <c r="REA11" s="25"/>
      <c r="REB11" s="26"/>
      <c r="REC11" s="26"/>
      <c r="RED11" s="27"/>
      <c r="REE11" s="28"/>
      <c r="REF11" s="26"/>
      <c r="REG11" s="26"/>
      <c r="REI11" s="25"/>
      <c r="REJ11" s="26"/>
      <c r="REK11" s="26"/>
      <c r="REL11" s="27"/>
      <c r="REM11" s="28"/>
      <c r="REN11" s="26"/>
      <c r="REO11" s="26"/>
      <c r="REQ11" s="25"/>
      <c r="RER11" s="26"/>
      <c r="RES11" s="26"/>
      <c r="RET11" s="27"/>
      <c r="REU11" s="28"/>
      <c r="REV11" s="26"/>
      <c r="REW11" s="26"/>
      <c r="REY11" s="25"/>
      <c r="REZ11" s="26"/>
      <c r="RFA11" s="26"/>
      <c r="RFB11" s="27"/>
      <c r="RFC11" s="28"/>
      <c r="RFD11" s="26"/>
      <c r="RFE11" s="26"/>
      <c r="RFG11" s="25"/>
      <c r="RFH11" s="26"/>
      <c r="RFI11" s="26"/>
      <c r="RFJ11" s="27"/>
      <c r="RFK11" s="28"/>
      <c r="RFL11" s="26"/>
      <c r="RFM11" s="26"/>
      <c r="RFO11" s="25"/>
      <c r="RFP11" s="26"/>
      <c r="RFQ11" s="26"/>
      <c r="RFR11" s="27"/>
      <c r="RFS11" s="28"/>
      <c r="RFT11" s="26"/>
      <c r="RFU11" s="26"/>
      <c r="RFW11" s="25"/>
      <c r="RFX11" s="26"/>
      <c r="RFY11" s="26"/>
      <c r="RFZ11" s="27"/>
      <c r="RGA11" s="28"/>
      <c r="RGB11" s="26"/>
      <c r="RGC11" s="26"/>
      <c r="RGE11" s="25"/>
      <c r="RGF11" s="26"/>
      <c r="RGG11" s="26"/>
      <c r="RGH11" s="27"/>
      <c r="RGI11" s="28"/>
      <c r="RGJ11" s="26"/>
      <c r="RGK11" s="26"/>
      <c r="RGM11" s="25"/>
      <c r="RGN11" s="26"/>
      <c r="RGO11" s="26"/>
      <c r="RGP11" s="27"/>
      <c r="RGQ11" s="28"/>
      <c r="RGR11" s="26"/>
      <c r="RGS11" s="26"/>
      <c r="RGU11" s="25"/>
      <c r="RGV11" s="26"/>
      <c r="RGW11" s="26"/>
      <c r="RGX11" s="27"/>
      <c r="RGY11" s="28"/>
      <c r="RGZ11" s="26"/>
      <c r="RHA11" s="26"/>
      <c r="RHC11" s="25"/>
      <c r="RHD11" s="26"/>
      <c r="RHE11" s="26"/>
      <c r="RHF11" s="27"/>
      <c r="RHG11" s="28"/>
      <c r="RHH11" s="26"/>
      <c r="RHI11" s="26"/>
      <c r="RHK11" s="25"/>
      <c r="RHL11" s="26"/>
      <c r="RHM11" s="26"/>
      <c r="RHN11" s="27"/>
      <c r="RHO11" s="28"/>
      <c r="RHP11" s="26"/>
      <c r="RHQ11" s="26"/>
      <c r="RHS11" s="25"/>
      <c r="RHT11" s="26"/>
      <c r="RHU11" s="26"/>
      <c r="RHV11" s="27"/>
      <c r="RHW11" s="28"/>
      <c r="RHX11" s="26"/>
      <c r="RHY11" s="26"/>
      <c r="RIA11" s="25"/>
      <c r="RIB11" s="26"/>
      <c r="RIC11" s="26"/>
      <c r="RID11" s="27"/>
      <c r="RIE11" s="28"/>
      <c r="RIF11" s="26"/>
      <c r="RIG11" s="26"/>
      <c r="RII11" s="25"/>
      <c r="RIJ11" s="26"/>
      <c r="RIK11" s="26"/>
      <c r="RIL11" s="27"/>
      <c r="RIM11" s="28"/>
      <c r="RIN11" s="26"/>
      <c r="RIO11" s="26"/>
      <c r="RIQ11" s="25"/>
      <c r="RIR11" s="26"/>
      <c r="RIS11" s="26"/>
      <c r="RIT11" s="27"/>
      <c r="RIU11" s="28"/>
      <c r="RIV11" s="26"/>
      <c r="RIW11" s="26"/>
      <c r="RIY11" s="25"/>
      <c r="RIZ11" s="26"/>
      <c r="RJA11" s="26"/>
      <c r="RJB11" s="27"/>
      <c r="RJC11" s="28"/>
      <c r="RJD11" s="26"/>
      <c r="RJE11" s="26"/>
      <c r="RJG11" s="25"/>
      <c r="RJH11" s="26"/>
      <c r="RJI11" s="26"/>
      <c r="RJJ11" s="27"/>
      <c r="RJK11" s="28"/>
      <c r="RJL11" s="26"/>
      <c r="RJM11" s="26"/>
      <c r="RJO11" s="25"/>
      <c r="RJP11" s="26"/>
      <c r="RJQ11" s="26"/>
      <c r="RJR11" s="27"/>
      <c r="RJS11" s="28"/>
      <c r="RJT11" s="26"/>
      <c r="RJU11" s="26"/>
      <c r="RJW11" s="25"/>
      <c r="RJX11" s="26"/>
      <c r="RJY11" s="26"/>
      <c r="RJZ11" s="27"/>
      <c r="RKA11" s="28"/>
      <c r="RKB11" s="26"/>
      <c r="RKC11" s="26"/>
      <c r="RKE11" s="25"/>
      <c r="RKF11" s="26"/>
      <c r="RKG11" s="26"/>
      <c r="RKH11" s="27"/>
      <c r="RKI11" s="28"/>
      <c r="RKJ11" s="26"/>
      <c r="RKK11" s="26"/>
      <c r="RKM11" s="25"/>
      <c r="RKN11" s="26"/>
      <c r="RKO11" s="26"/>
      <c r="RKP11" s="27"/>
      <c r="RKQ11" s="28"/>
      <c r="RKR11" s="26"/>
      <c r="RKS11" s="26"/>
      <c r="RKU11" s="25"/>
      <c r="RKV11" s="26"/>
      <c r="RKW11" s="26"/>
      <c r="RKX11" s="27"/>
      <c r="RKY11" s="28"/>
      <c r="RKZ11" s="26"/>
      <c r="RLA11" s="26"/>
      <c r="RLC11" s="25"/>
      <c r="RLD11" s="26"/>
      <c r="RLE11" s="26"/>
      <c r="RLF11" s="27"/>
      <c r="RLG11" s="28"/>
      <c r="RLH11" s="26"/>
      <c r="RLI11" s="26"/>
      <c r="RLK11" s="25"/>
      <c r="RLL11" s="26"/>
      <c r="RLM11" s="26"/>
      <c r="RLN11" s="27"/>
      <c r="RLO11" s="28"/>
      <c r="RLP11" s="26"/>
      <c r="RLQ11" s="26"/>
      <c r="RLS11" s="25"/>
      <c r="RLT11" s="26"/>
      <c r="RLU11" s="26"/>
      <c r="RLV11" s="27"/>
      <c r="RLW11" s="28"/>
      <c r="RLX11" s="26"/>
      <c r="RLY11" s="26"/>
      <c r="RMA11" s="25"/>
      <c r="RMB11" s="26"/>
      <c r="RMC11" s="26"/>
      <c r="RMD11" s="27"/>
      <c r="RME11" s="28"/>
      <c r="RMF11" s="26"/>
      <c r="RMG11" s="26"/>
      <c r="RMI11" s="25"/>
      <c r="RMJ11" s="26"/>
      <c r="RMK11" s="26"/>
      <c r="RML11" s="27"/>
      <c r="RMM11" s="28"/>
      <c r="RMN11" s="26"/>
      <c r="RMO11" s="26"/>
      <c r="RMQ11" s="25"/>
      <c r="RMR11" s="26"/>
      <c r="RMS11" s="26"/>
      <c r="RMT11" s="27"/>
      <c r="RMU11" s="28"/>
      <c r="RMV11" s="26"/>
      <c r="RMW11" s="26"/>
      <c r="RMY11" s="25"/>
      <c r="RMZ11" s="26"/>
      <c r="RNA11" s="26"/>
      <c r="RNB11" s="27"/>
      <c r="RNC11" s="28"/>
      <c r="RND11" s="26"/>
      <c r="RNE11" s="26"/>
      <c r="RNG11" s="25"/>
      <c r="RNH11" s="26"/>
      <c r="RNI11" s="26"/>
      <c r="RNJ11" s="27"/>
      <c r="RNK11" s="28"/>
      <c r="RNL11" s="26"/>
      <c r="RNM11" s="26"/>
      <c r="RNO11" s="25"/>
      <c r="RNP11" s="26"/>
      <c r="RNQ11" s="26"/>
      <c r="RNR11" s="27"/>
      <c r="RNS11" s="28"/>
      <c r="RNT11" s="26"/>
      <c r="RNU11" s="26"/>
      <c r="RNW11" s="25"/>
      <c r="RNX11" s="26"/>
      <c r="RNY11" s="26"/>
      <c r="RNZ11" s="27"/>
      <c r="ROA11" s="28"/>
      <c r="ROB11" s="26"/>
      <c r="ROC11" s="26"/>
      <c r="ROE11" s="25"/>
      <c r="ROF11" s="26"/>
      <c r="ROG11" s="26"/>
      <c r="ROH11" s="27"/>
      <c r="ROI11" s="28"/>
      <c r="ROJ11" s="26"/>
      <c r="ROK11" s="26"/>
      <c r="ROM11" s="25"/>
      <c r="RON11" s="26"/>
      <c r="ROO11" s="26"/>
      <c r="ROP11" s="27"/>
      <c r="ROQ11" s="28"/>
      <c r="ROR11" s="26"/>
      <c r="ROS11" s="26"/>
      <c r="ROU11" s="25"/>
      <c r="ROV11" s="26"/>
      <c r="ROW11" s="26"/>
      <c r="ROX11" s="27"/>
      <c r="ROY11" s="28"/>
      <c r="ROZ11" s="26"/>
      <c r="RPA11" s="26"/>
      <c r="RPC11" s="25"/>
      <c r="RPD11" s="26"/>
      <c r="RPE11" s="26"/>
      <c r="RPF11" s="27"/>
      <c r="RPG11" s="28"/>
      <c r="RPH11" s="26"/>
      <c r="RPI11" s="26"/>
      <c r="RPK11" s="25"/>
      <c r="RPL11" s="26"/>
      <c r="RPM11" s="26"/>
      <c r="RPN11" s="27"/>
      <c r="RPO11" s="28"/>
      <c r="RPP11" s="26"/>
      <c r="RPQ11" s="26"/>
      <c r="RPS11" s="25"/>
      <c r="RPT11" s="26"/>
      <c r="RPU11" s="26"/>
      <c r="RPV11" s="27"/>
      <c r="RPW11" s="28"/>
      <c r="RPX11" s="26"/>
      <c r="RPY11" s="26"/>
      <c r="RQA11" s="25"/>
      <c r="RQB11" s="26"/>
      <c r="RQC11" s="26"/>
      <c r="RQD11" s="27"/>
      <c r="RQE11" s="28"/>
      <c r="RQF11" s="26"/>
      <c r="RQG11" s="26"/>
      <c r="RQI11" s="25"/>
      <c r="RQJ11" s="26"/>
      <c r="RQK11" s="26"/>
      <c r="RQL11" s="27"/>
      <c r="RQM11" s="28"/>
      <c r="RQN11" s="26"/>
      <c r="RQO11" s="26"/>
      <c r="RQQ11" s="25"/>
      <c r="RQR11" s="26"/>
      <c r="RQS11" s="26"/>
      <c r="RQT11" s="27"/>
      <c r="RQU11" s="28"/>
      <c r="RQV11" s="26"/>
      <c r="RQW11" s="26"/>
      <c r="RQY11" s="25"/>
      <c r="RQZ11" s="26"/>
      <c r="RRA11" s="26"/>
      <c r="RRB11" s="27"/>
      <c r="RRC11" s="28"/>
      <c r="RRD11" s="26"/>
      <c r="RRE11" s="26"/>
      <c r="RRG11" s="25"/>
      <c r="RRH11" s="26"/>
      <c r="RRI11" s="26"/>
      <c r="RRJ11" s="27"/>
      <c r="RRK11" s="28"/>
      <c r="RRL11" s="26"/>
      <c r="RRM11" s="26"/>
      <c r="RRO11" s="25"/>
      <c r="RRP11" s="26"/>
      <c r="RRQ11" s="26"/>
      <c r="RRR11" s="27"/>
      <c r="RRS11" s="28"/>
      <c r="RRT11" s="26"/>
      <c r="RRU11" s="26"/>
      <c r="RRW11" s="25"/>
      <c r="RRX11" s="26"/>
      <c r="RRY11" s="26"/>
      <c r="RRZ11" s="27"/>
      <c r="RSA11" s="28"/>
      <c r="RSB11" s="26"/>
      <c r="RSC11" s="26"/>
      <c r="RSE11" s="25"/>
      <c r="RSF11" s="26"/>
      <c r="RSG11" s="26"/>
      <c r="RSH11" s="27"/>
      <c r="RSI11" s="28"/>
      <c r="RSJ11" s="26"/>
      <c r="RSK11" s="26"/>
      <c r="RSM11" s="25"/>
      <c r="RSN11" s="26"/>
      <c r="RSO11" s="26"/>
      <c r="RSP11" s="27"/>
      <c r="RSQ11" s="28"/>
      <c r="RSR11" s="26"/>
      <c r="RSS11" s="26"/>
      <c r="RSU11" s="25"/>
      <c r="RSV11" s="26"/>
      <c r="RSW11" s="26"/>
      <c r="RSX11" s="27"/>
      <c r="RSY11" s="28"/>
      <c r="RSZ11" s="26"/>
      <c r="RTA11" s="26"/>
      <c r="RTC11" s="25"/>
      <c r="RTD11" s="26"/>
      <c r="RTE11" s="26"/>
      <c r="RTF11" s="27"/>
      <c r="RTG11" s="28"/>
      <c r="RTH11" s="26"/>
      <c r="RTI11" s="26"/>
      <c r="RTK11" s="25"/>
      <c r="RTL11" s="26"/>
      <c r="RTM11" s="26"/>
      <c r="RTN11" s="27"/>
      <c r="RTO11" s="28"/>
      <c r="RTP11" s="26"/>
      <c r="RTQ11" s="26"/>
      <c r="RTS11" s="25"/>
      <c r="RTT11" s="26"/>
      <c r="RTU11" s="26"/>
      <c r="RTV11" s="27"/>
      <c r="RTW11" s="28"/>
      <c r="RTX11" s="26"/>
      <c r="RTY11" s="26"/>
      <c r="RUA11" s="25"/>
      <c r="RUB11" s="26"/>
      <c r="RUC11" s="26"/>
      <c r="RUD11" s="27"/>
      <c r="RUE11" s="28"/>
      <c r="RUF11" s="26"/>
      <c r="RUG11" s="26"/>
      <c r="RUI11" s="25"/>
      <c r="RUJ11" s="26"/>
      <c r="RUK11" s="26"/>
      <c r="RUL11" s="27"/>
      <c r="RUM11" s="28"/>
      <c r="RUN11" s="26"/>
      <c r="RUO11" s="26"/>
      <c r="RUQ11" s="25"/>
      <c r="RUR11" s="26"/>
      <c r="RUS11" s="26"/>
      <c r="RUT11" s="27"/>
      <c r="RUU11" s="28"/>
      <c r="RUV11" s="26"/>
      <c r="RUW11" s="26"/>
      <c r="RUY11" s="25"/>
      <c r="RUZ11" s="26"/>
      <c r="RVA11" s="26"/>
      <c r="RVB11" s="27"/>
      <c r="RVC11" s="28"/>
      <c r="RVD11" s="26"/>
      <c r="RVE11" s="26"/>
      <c r="RVG11" s="25"/>
      <c r="RVH11" s="26"/>
      <c r="RVI11" s="26"/>
      <c r="RVJ11" s="27"/>
      <c r="RVK11" s="28"/>
      <c r="RVL11" s="26"/>
      <c r="RVM11" s="26"/>
      <c r="RVO11" s="25"/>
      <c r="RVP11" s="26"/>
      <c r="RVQ11" s="26"/>
      <c r="RVR11" s="27"/>
      <c r="RVS11" s="28"/>
      <c r="RVT11" s="26"/>
      <c r="RVU11" s="26"/>
      <c r="RVW11" s="25"/>
      <c r="RVX11" s="26"/>
      <c r="RVY11" s="26"/>
      <c r="RVZ11" s="27"/>
      <c r="RWA11" s="28"/>
      <c r="RWB11" s="26"/>
      <c r="RWC11" s="26"/>
      <c r="RWE11" s="25"/>
      <c r="RWF11" s="26"/>
      <c r="RWG11" s="26"/>
      <c r="RWH11" s="27"/>
      <c r="RWI11" s="28"/>
      <c r="RWJ11" s="26"/>
      <c r="RWK11" s="26"/>
      <c r="RWM11" s="25"/>
      <c r="RWN11" s="26"/>
      <c r="RWO11" s="26"/>
      <c r="RWP11" s="27"/>
      <c r="RWQ11" s="28"/>
      <c r="RWR11" s="26"/>
      <c r="RWS11" s="26"/>
      <c r="RWU11" s="25"/>
      <c r="RWV11" s="26"/>
      <c r="RWW11" s="26"/>
      <c r="RWX11" s="27"/>
      <c r="RWY11" s="28"/>
      <c r="RWZ11" s="26"/>
      <c r="RXA11" s="26"/>
      <c r="RXC11" s="25"/>
      <c r="RXD11" s="26"/>
      <c r="RXE11" s="26"/>
      <c r="RXF11" s="27"/>
      <c r="RXG11" s="28"/>
      <c r="RXH11" s="26"/>
      <c r="RXI11" s="26"/>
      <c r="RXK11" s="25"/>
      <c r="RXL11" s="26"/>
      <c r="RXM11" s="26"/>
      <c r="RXN11" s="27"/>
      <c r="RXO11" s="28"/>
      <c r="RXP11" s="26"/>
      <c r="RXQ11" s="26"/>
      <c r="RXS11" s="25"/>
      <c r="RXT11" s="26"/>
      <c r="RXU11" s="26"/>
      <c r="RXV11" s="27"/>
      <c r="RXW11" s="28"/>
      <c r="RXX11" s="26"/>
      <c r="RXY11" s="26"/>
      <c r="RYA11" s="25"/>
      <c r="RYB11" s="26"/>
      <c r="RYC11" s="26"/>
      <c r="RYD11" s="27"/>
      <c r="RYE11" s="28"/>
      <c r="RYF11" s="26"/>
      <c r="RYG11" s="26"/>
      <c r="RYI11" s="25"/>
      <c r="RYJ11" s="26"/>
      <c r="RYK11" s="26"/>
      <c r="RYL11" s="27"/>
      <c r="RYM11" s="28"/>
      <c r="RYN11" s="26"/>
      <c r="RYO11" s="26"/>
      <c r="RYQ11" s="25"/>
      <c r="RYR11" s="26"/>
      <c r="RYS11" s="26"/>
      <c r="RYT11" s="27"/>
      <c r="RYU11" s="28"/>
      <c r="RYV11" s="26"/>
      <c r="RYW11" s="26"/>
      <c r="RYY11" s="25"/>
      <c r="RYZ11" s="26"/>
      <c r="RZA11" s="26"/>
      <c r="RZB11" s="27"/>
      <c r="RZC11" s="28"/>
      <c r="RZD11" s="26"/>
      <c r="RZE11" s="26"/>
      <c r="RZG11" s="25"/>
      <c r="RZH11" s="26"/>
      <c r="RZI11" s="26"/>
      <c r="RZJ11" s="27"/>
      <c r="RZK11" s="28"/>
      <c r="RZL11" s="26"/>
      <c r="RZM11" s="26"/>
      <c r="RZO11" s="25"/>
      <c r="RZP11" s="26"/>
      <c r="RZQ11" s="26"/>
      <c r="RZR11" s="27"/>
      <c r="RZS11" s="28"/>
      <c r="RZT11" s="26"/>
      <c r="RZU11" s="26"/>
      <c r="RZW11" s="25"/>
      <c r="RZX11" s="26"/>
      <c r="RZY11" s="26"/>
      <c r="RZZ11" s="27"/>
      <c r="SAA11" s="28"/>
      <c r="SAB11" s="26"/>
      <c r="SAC11" s="26"/>
      <c r="SAE11" s="25"/>
      <c r="SAF11" s="26"/>
      <c r="SAG11" s="26"/>
      <c r="SAH11" s="27"/>
      <c r="SAI11" s="28"/>
      <c r="SAJ11" s="26"/>
      <c r="SAK11" s="26"/>
      <c r="SAM11" s="25"/>
      <c r="SAN11" s="26"/>
      <c r="SAO11" s="26"/>
      <c r="SAP11" s="27"/>
      <c r="SAQ11" s="28"/>
      <c r="SAR11" s="26"/>
      <c r="SAS11" s="26"/>
      <c r="SAU11" s="25"/>
      <c r="SAV11" s="26"/>
      <c r="SAW11" s="26"/>
      <c r="SAX11" s="27"/>
      <c r="SAY11" s="28"/>
      <c r="SAZ11" s="26"/>
      <c r="SBA11" s="26"/>
      <c r="SBC11" s="25"/>
      <c r="SBD11" s="26"/>
      <c r="SBE11" s="26"/>
      <c r="SBF11" s="27"/>
      <c r="SBG11" s="28"/>
      <c r="SBH11" s="26"/>
      <c r="SBI11" s="26"/>
      <c r="SBK11" s="25"/>
      <c r="SBL11" s="26"/>
      <c r="SBM11" s="26"/>
      <c r="SBN11" s="27"/>
      <c r="SBO11" s="28"/>
      <c r="SBP11" s="26"/>
      <c r="SBQ11" s="26"/>
      <c r="SBS11" s="25"/>
      <c r="SBT11" s="26"/>
      <c r="SBU11" s="26"/>
      <c r="SBV11" s="27"/>
      <c r="SBW11" s="28"/>
      <c r="SBX11" s="26"/>
      <c r="SBY11" s="26"/>
      <c r="SCA11" s="25"/>
      <c r="SCB11" s="26"/>
      <c r="SCC11" s="26"/>
      <c r="SCD11" s="27"/>
      <c r="SCE11" s="28"/>
      <c r="SCF11" s="26"/>
      <c r="SCG11" s="26"/>
      <c r="SCI11" s="25"/>
      <c r="SCJ11" s="26"/>
      <c r="SCK11" s="26"/>
      <c r="SCL11" s="27"/>
      <c r="SCM11" s="28"/>
      <c r="SCN11" s="26"/>
      <c r="SCO11" s="26"/>
      <c r="SCQ11" s="25"/>
      <c r="SCR11" s="26"/>
      <c r="SCS11" s="26"/>
      <c r="SCT11" s="27"/>
      <c r="SCU11" s="28"/>
      <c r="SCV11" s="26"/>
      <c r="SCW11" s="26"/>
      <c r="SCY11" s="25"/>
      <c r="SCZ11" s="26"/>
      <c r="SDA11" s="26"/>
      <c r="SDB11" s="27"/>
      <c r="SDC11" s="28"/>
      <c r="SDD11" s="26"/>
      <c r="SDE11" s="26"/>
      <c r="SDG11" s="25"/>
      <c r="SDH11" s="26"/>
      <c r="SDI11" s="26"/>
      <c r="SDJ11" s="27"/>
      <c r="SDK11" s="28"/>
      <c r="SDL11" s="26"/>
      <c r="SDM11" s="26"/>
      <c r="SDO11" s="25"/>
      <c r="SDP11" s="26"/>
      <c r="SDQ11" s="26"/>
      <c r="SDR11" s="27"/>
      <c r="SDS11" s="28"/>
      <c r="SDT11" s="26"/>
      <c r="SDU11" s="26"/>
      <c r="SDW11" s="25"/>
      <c r="SDX11" s="26"/>
      <c r="SDY11" s="26"/>
      <c r="SDZ11" s="27"/>
      <c r="SEA11" s="28"/>
      <c r="SEB11" s="26"/>
      <c r="SEC11" s="26"/>
      <c r="SEE11" s="25"/>
      <c r="SEF11" s="26"/>
      <c r="SEG11" s="26"/>
      <c r="SEH11" s="27"/>
      <c r="SEI11" s="28"/>
      <c r="SEJ11" s="26"/>
      <c r="SEK11" s="26"/>
      <c r="SEM11" s="25"/>
      <c r="SEN11" s="26"/>
      <c r="SEO11" s="26"/>
      <c r="SEP11" s="27"/>
      <c r="SEQ11" s="28"/>
      <c r="SER11" s="26"/>
      <c r="SES11" s="26"/>
      <c r="SEU11" s="25"/>
      <c r="SEV11" s="26"/>
      <c r="SEW11" s="26"/>
      <c r="SEX11" s="27"/>
      <c r="SEY11" s="28"/>
      <c r="SEZ11" s="26"/>
      <c r="SFA11" s="26"/>
      <c r="SFC11" s="25"/>
      <c r="SFD11" s="26"/>
      <c r="SFE11" s="26"/>
      <c r="SFF11" s="27"/>
      <c r="SFG11" s="28"/>
      <c r="SFH11" s="26"/>
      <c r="SFI11" s="26"/>
      <c r="SFK11" s="25"/>
      <c r="SFL11" s="26"/>
      <c r="SFM11" s="26"/>
      <c r="SFN11" s="27"/>
      <c r="SFO11" s="28"/>
      <c r="SFP11" s="26"/>
      <c r="SFQ11" s="26"/>
      <c r="SFS11" s="25"/>
      <c r="SFT11" s="26"/>
      <c r="SFU11" s="26"/>
      <c r="SFV11" s="27"/>
      <c r="SFW11" s="28"/>
      <c r="SFX11" s="26"/>
      <c r="SFY11" s="26"/>
      <c r="SGA11" s="25"/>
      <c r="SGB11" s="26"/>
      <c r="SGC11" s="26"/>
      <c r="SGD11" s="27"/>
      <c r="SGE11" s="28"/>
      <c r="SGF11" s="26"/>
      <c r="SGG11" s="26"/>
      <c r="SGI11" s="25"/>
      <c r="SGJ11" s="26"/>
      <c r="SGK11" s="26"/>
      <c r="SGL11" s="27"/>
      <c r="SGM11" s="28"/>
      <c r="SGN11" s="26"/>
      <c r="SGO11" s="26"/>
      <c r="SGQ11" s="25"/>
      <c r="SGR11" s="26"/>
      <c r="SGS11" s="26"/>
      <c r="SGT11" s="27"/>
      <c r="SGU11" s="28"/>
      <c r="SGV11" s="26"/>
      <c r="SGW11" s="26"/>
      <c r="SGY11" s="25"/>
      <c r="SGZ11" s="26"/>
      <c r="SHA11" s="26"/>
      <c r="SHB11" s="27"/>
      <c r="SHC11" s="28"/>
      <c r="SHD11" s="26"/>
      <c r="SHE11" s="26"/>
      <c r="SHG11" s="25"/>
      <c r="SHH11" s="26"/>
      <c r="SHI11" s="26"/>
      <c r="SHJ11" s="27"/>
      <c r="SHK11" s="28"/>
      <c r="SHL11" s="26"/>
      <c r="SHM11" s="26"/>
      <c r="SHO11" s="25"/>
      <c r="SHP11" s="26"/>
      <c r="SHQ11" s="26"/>
      <c r="SHR11" s="27"/>
      <c r="SHS11" s="28"/>
      <c r="SHT11" s="26"/>
      <c r="SHU11" s="26"/>
      <c r="SHW11" s="25"/>
      <c r="SHX11" s="26"/>
      <c r="SHY11" s="26"/>
      <c r="SHZ11" s="27"/>
      <c r="SIA11" s="28"/>
      <c r="SIB11" s="26"/>
      <c r="SIC11" s="26"/>
      <c r="SIE11" s="25"/>
      <c r="SIF11" s="26"/>
      <c r="SIG11" s="26"/>
      <c r="SIH11" s="27"/>
      <c r="SII11" s="28"/>
      <c r="SIJ11" s="26"/>
      <c r="SIK11" s="26"/>
      <c r="SIM11" s="25"/>
      <c r="SIN11" s="26"/>
      <c r="SIO11" s="26"/>
      <c r="SIP11" s="27"/>
      <c r="SIQ11" s="28"/>
      <c r="SIR11" s="26"/>
      <c r="SIS11" s="26"/>
      <c r="SIU11" s="25"/>
      <c r="SIV11" s="26"/>
      <c r="SIW11" s="26"/>
      <c r="SIX11" s="27"/>
      <c r="SIY11" s="28"/>
      <c r="SIZ11" s="26"/>
      <c r="SJA11" s="26"/>
      <c r="SJC11" s="25"/>
      <c r="SJD11" s="26"/>
      <c r="SJE11" s="26"/>
      <c r="SJF11" s="27"/>
      <c r="SJG11" s="28"/>
      <c r="SJH11" s="26"/>
      <c r="SJI11" s="26"/>
      <c r="SJK11" s="25"/>
      <c r="SJL11" s="26"/>
      <c r="SJM11" s="26"/>
      <c r="SJN11" s="27"/>
      <c r="SJO11" s="28"/>
      <c r="SJP11" s="26"/>
      <c r="SJQ11" s="26"/>
      <c r="SJS11" s="25"/>
      <c r="SJT11" s="26"/>
      <c r="SJU11" s="26"/>
      <c r="SJV11" s="27"/>
      <c r="SJW11" s="28"/>
      <c r="SJX11" s="26"/>
      <c r="SJY11" s="26"/>
      <c r="SKA11" s="25"/>
      <c r="SKB11" s="26"/>
      <c r="SKC11" s="26"/>
      <c r="SKD11" s="27"/>
      <c r="SKE11" s="28"/>
      <c r="SKF11" s="26"/>
      <c r="SKG11" s="26"/>
      <c r="SKI11" s="25"/>
      <c r="SKJ11" s="26"/>
      <c r="SKK11" s="26"/>
      <c r="SKL11" s="27"/>
      <c r="SKM11" s="28"/>
      <c r="SKN11" s="26"/>
      <c r="SKO11" s="26"/>
      <c r="SKQ11" s="25"/>
      <c r="SKR11" s="26"/>
      <c r="SKS11" s="26"/>
      <c r="SKT11" s="27"/>
      <c r="SKU11" s="28"/>
      <c r="SKV11" s="26"/>
      <c r="SKW11" s="26"/>
      <c r="SKY11" s="25"/>
      <c r="SKZ11" s="26"/>
      <c r="SLA11" s="26"/>
      <c r="SLB11" s="27"/>
      <c r="SLC11" s="28"/>
      <c r="SLD11" s="26"/>
      <c r="SLE11" s="26"/>
      <c r="SLG11" s="25"/>
      <c r="SLH11" s="26"/>
      <c r="SLI11" s="26"/>
      <c r="SLJ11" s="27"/>
      <c r="SLK11" s="28"/>
      <c r="SLL11" s="26"/>
      <c r="SLM11" s="26"/>
      <c r="SLO11" s="25"/>
      <c r="SLP11" s="26"/>
      <c r="SLQ11" s="26"/>
      <c r="SLR11" s="27"/>
      <c r="SLS11" s="28"/>
      <c r="SLT11" s="26"/>
      <c r="SLU11" s="26"/>
      <c r="SLW11" s="25"/>
      <c r="SLX11" s="26"/>
      <c r="SLY11" s="26"/>
      <c r="SLZ11" s="27"/>
      <c r="SMA11" s="28"/>
      <c r="SMB11" s="26"/>
      <c r="SMC11" s="26"/>
      <c r="SME11" s="25"/>
      <c r="SMF11" s="26"/>
      <c r="SMG11" s="26"/>
      <c r="SMH11" s="27"/>
      <c r="SMI11" s="28"/>
      <c r="SMJ11" s="26"/>
      <c r="SMK11" s="26"/>
      <c r="SMM11" s="25"/>
      <c r="SMN11" s="26"/>
      <c r="SMO11" s="26"/>
      <c r="SMP11" s="27"/>
      <c r="SMQ11" s="28"/>
      <c r="SMR11" s="26"/>
      <c r="SMS11" s="26"/>
      <c r="SMU11" s="25"/>
      <c r="SMV11" s="26"/>
      <c r="SMW11" s="26"/>
      <c r="SMX11" s="27"/>
      <c r="SMY11" s="28"/>
      <c r="SMZ11" s="26"/>
      <c r="SNA11" s="26"/>
      <c r="SNC11" s="25"/>
      <c r="SND11" s="26"/>
      <c r="SNE11" s="26"/>
      <c r="SNF11" s="27"/>
      <c r="SNG11" s="28"/>
      <c r="SNH11" s="26"/>
      <c r="SNI11" s="26"/>
      <c r="SNK11" s="25"/>
      <c r="SNL11" s="26"/>
      <c r="SNM11" s="26"/>
      <c r="SNN11" s="27"/>
      <c r="SNO11" s="28"/>
      <c r="SNP11" s="26"/>
      <c r="SNQ11" s="26"/>
      <c r="SNS11" s="25"/>
      <c r="SNT11" s="26"/>
      <c r="SNU11" s="26"/>
      <c r="SNV11" s="27"/>
      <c r="SNW11" s="28"/>
      <c r="SNX11" s="26"/>
      <c r="SNY11" s="26"/>
      <c r="SOA11" s="25"/>
      <c r="SOB11" s="26"/>
      <c r="SOC11" s="26"/>
      <c r="SOD11" s="27"/>
      <c r="SOE11" s="28"/>
      <c r="SOF11" s="26"/>
      <c r="SOG11" s="26"/>
      <c r="SOI11" s="25"/>
      <c r="SOJ11" s="26"/>
      <c r="SOK11" s="26"/>
      <c r="SOL11" s="27"/>
      <c r="SOM11" s="28"/>
      <c r="SON11" s="26"/>
      <c r="SOO11" s="26"/>
      <c r="SOQ11" s="25"/>
      <c r="SOR11" s="26"/>
      <c r="SOS11" s="26"/>
      <c r="SOT11" s="27"/>
      <c r="SOU11" s="28"/>
      <c r="SOV11" s="26"/>
      <c r="SOW11" s="26"/>
      <c r="SOY11" s="25"/>
      <c r="SOZ11" s="26"/>
      <c r="SPA11" s="26"/>
      <c r="SPB11" s="27"/>
      <c r="SPC11" s="28"/>
      <c r="SPD11" s="26"/>
      <c r="SPE11" s="26"/>
      <c r="SPG11" s="25"/>
      <c r="SPH11" s="26"/>
      <c r="SPI11" s="26"/>
      <c r="SPJ11" s="27"/>
      <c r="SPK11" s="28"/>
      <c r="SPL11" s="26"/>
      <c r="SPM11" s="26"/>
      <c r="SPO11" s="25"/>
      <c r="SPP11" s="26"/>
      <c r="SPQ11" s="26"/>
      <c r="SPR11" s="27"/>
      <c r="SPS11" s="28"/>
      <c r="SPT11" s="26"/>
      <c r="SPU11" s="26"/>
      <c r="SPW11" s="25"/>
      <c r="SPX11" s="26"/>
      <c r="SPY11" s="26"/>
      <c r="SPZ11" s="27"/>
      <c r="SQA11" s="28"/>
      <c r="SQB11" s="26"/>
      <c r="SQC11" s="26"/>
      <c r="SQE11" s="25"/>
      <c r="SQF11" s="26"/>
      <c r="SQG11" s="26"/>
      <c r="SQH11" s="27"/>
      <c r="SQI11" s="28"/>
      <c r="SQJ11" s="26"/>
      <c r="SQK11" s="26"/>
      <c r="SQM11" s="25"/>
      <c r="SQN11" s="26"/>
      <c r="SQO11" s="26"/>
      <c r="SQP11" s="27"/>
      <c r="SQQ11" s="28"/>
      <c r="SQR11" s="26"/>
      <c r="SQS11" s="26"/>
      <c r="SQU11" s="25"/>
      <c r="SQV11" s="26"/>
      <c r="SQW11" s="26"/>
      <c r="SQX11" s="27"/>
      <c r="SQY11" s="28"/>
      <c r="SQZ11" s="26"/>
      <c r="SRA11" s="26"/>
      <c r="SRC11" s="25"/>
      <c r="SRD11" s="26"/>
      <c r="SRE11" s="26"/>
      <c r="SRF11" s="27"/>
      <c r="SRG11" s="28"/>
      <c r="SRH11" s="26"/>
      <c r="SRI11" s="26"/>
      <c r="SRK11" s="25"/>
      <c r="SRL11" s="26"/>
      <c r="SRM11" s="26"/>
      <c r="SRN11" s="27"/>
      <c r="SRO11" s="28"/>
      <c r="SRP11" s="26"/>
      <c r="SRQ11" s="26"/>
      <c r="SRS11" s="25"/>
      <c r="SRT11" s="26"/>
      <c r="SRU11" s="26"/>
      <c r="SRV11" s="27"/>
      <c r="SRW11" s="28"/>
      <c r="SRX11" s="26"/>
      <c r="SRY11" s="26"/>
      <c r="SSA11" s="25"/>
      <c r="SSB11" s="26"/>
      <c r="SSC11" s="26"/>
      <c r="SSD11" s="27"/>
      <c r="SSE11" s="28"/>
      <c r="SSF11" s="26"/>
      <c r="SSG11" s="26"/>
      <c r="SSI11" s="25"/>
      <c r="SSJ11" s="26"/>
      <c r="SSK11" s="26"/>
      <c r="SSL11" s="27"/>
      <c r="SSM11" s="28"/>
      <c r="SSN11" s="26"/>
      <c r="SSO11" s="26"/>
      <c r="SSQ11" s="25"/>
      <c r="SSR11" s="26"/>
      <c r="SSS11" s="26"/>
      <c r="SST11" s="27"/>
      <c r="SSU11" s="28"/>
      <c r="SSV11" s="26"/>
      <c r="SSW11" s="26"/>
      <c r="SSY11" s="25"/>
      <c r="SSZ11" s="26"/>
      <c r="STA11" s="26"/>
      <c r="STB11" s="27"/>
      <c r="STC11" s="28"/>
      <c r="STD11" s="26"/>
      <c r="STE11" s="26"/>
      <c r="STG11" s="25"/>
      <c r="STH11" s="26"/>
      <c r="STI11" s="26"/>
      <c r="STJ11" s="27"/>
      <c r="STK11" s="28"/>
      <c r="STL11" s="26"/>
      <c r="STM11" s="26"/>
      <c r="STO11" s="25"/>
      <c r="STP11" s="26"/>
      <c r="STQ11" s="26"/>
      <c r="STR11" s="27"/>
      <c r="STS11" s="28"/>
      <c r="STT11" s="26"/>
      <c r="STU11" s="26"/>
      <c r="STW11" s="25"/>
      <c r="STX11" s="26"/>
      <c r="STY11" s="26"/>
      <c r="STZ11" s="27"/>
      <c r="SUA11" s="28"/>
      <c r="SUB11" s="26"/>
      <c r="SUC11" s="26"/>
      <c r="SUE11" s="25"/>
      <c r="SUF11" s="26"/>
      <c r="SUG11" s="26"/>
      <c r="SUH11" s="27"/>
      <c r="SUI11" s="28"/>
      <c r="SUJ11" s="26"/>
      <c r="SUK11" s="26"/>
      <c r="SUM11" s="25"/>
      <c r="SUN11" s="26"/>
      <c r="SUO11" s="26"/>
      <c r="SUP11" s="27"/>
      <c r="SUQ11" s="28"/>
      <c r="SUR11" s="26"/>
      <c r="SUS11" s="26"/>
      <c r="SUU11" s="25"/>
      <c r="SUV11" s="26"/>
      <c r="SUW11" s="26"/>
      <c r="SUX11" s="27"/>
      <c r="SUY11" s="28"/>
      <c r="SUZ11" s="26"/>
      <c r="SVA11" s="26"/>
      <c r="SVC11" s="25"/>
      <c r="SVD11" s="26"/>
      <c r="SVE11" s="26"/>
      <c r="SVF11" s="27"/>
      <c r="SVG11" s="28"/>
      <c r="SVH11" s="26"/>
      <c r="SVI11" s="26"/>
      <c r="SVK11" s="25"/>
      <c r="SVL11" s="26"/>
      <c r="SVM11" s="26"/>
      <c r="SVN11" s="27"/>
      <c r="SVO11" s="28"/>
      <c r="SVP11" s="26"/>
      <c r="SVQ11" s="26"/>
      <c r="SVS11" s="25"/>
      <c r="SVT11" s="26"/>
      <c r="SVU11" s="26"/>
      <c r="SVV11" s="27"/>
      <c r="SVW11" s="28"/>
      <c r="SVX11" s="26"/>
      <c r="SVY11" s="26"/>
      <c r="SWA11" s="25"/>
      <c r="SWB11" s="26"/>
      <c r="SWC11" s="26"/>
      <c r="SWD11" s="27"/>
      <c r="SWE11" s="28"/>
      <c r="SWF11" s="26"/>
      <c r="SWG11" s="26"/>
      <c r="SWI11" s="25"/>
      <c r="SWJ11" s="26"/>
      <c r="SWK11" s="26"/>
      <c r="SWL11" s="27"/>
      <c r="SWM11" s="28"/>
      <c r="SWN11" s="26"/>
      <c r="SWO11" s="26"/>
      <c r="SWQ11" s="25"/>
      <c r="SWR11" s="26"/>
      <c r="SWS11" s="26"/>
      <c r="SWT11" s="27"/>
      <c r="SWU11" s="28"/>
      <c r="SWV11" s="26"/>
      <c r="SWW11" s="26"/>
      <c r="SWY11" s="25"/>
      <c r="SWZ11" s="26"/>
      <c r="SXA11" s="26"/>
      <c r="SXB11" s="27"/>
      <c r="SXC11" s="28"/>
      <c r="SXD11" s="26"/>
      <c r="SXE11" s="26"/>
      <c r="SXG11" s="25"/>
      <c r="SXH11" s="26"/>
      <c r="SXI11" s="26"/>
      <c r="SXJ11" s="27"/>
      <c r="SXK11" s="28"/>
      <c r="SXL11" s="26"/>
      <c r="SXM11" s="26"/>
      <c r="SXO11" s="25"/>
      <c r="SXP11" s="26"/>
      <c r="SXQ11" s="26"/>
      <c r="SXR11" s="27"/>
      <c r="SXS11" s="28"/>
      <c r="SXT11" s="26"/>
      <c r="SXU11" s="26"/>
      <c r="SXW11" s="25"/>
      <c r="SXX11" s="26"/>
      <c r="SXY11" s="26"/>
      <c r="SXZ11" s="27"/>
      <c r="SYA11" s="28"/>
      <c r="SYB11" s="26"/>
      <c r="SYC11" s="26"/>
      <c r="SYE11" s="25"/>
      <c r="SYF11" s="26"/>
      <c r="SYG11" s="26"/>
      <c r="SYH11" s="27"/>
      <c r="SYI11" s="28"/>
      <c r="SYJ11" s="26"/>
      <c r="SYK11" s="26"/>
      <c r="SYM11" s="25"/>
      <c r="SYN11" s="26"/>
      <c r="SYO11" s="26"/>
      <c r="SYP11" s="27"/>
      <c r="SYQ11" s="28"/>
      <c r="SYR11" s="26"/>
      <c r="SYS11" s="26"/>
      <c r="SYU11" s="25"/>
      <c r="SYV11" s="26"/>
      <c r="SYW11" s="26"/>
      <c r="SYX11" s="27"/>
      <c r="SYY11" s="28"/>
      <c r="SYZ11" s="26"/>
      <c r="SZA11" s="26"/>
      <c r="SZC11" s="25"/>
      <c r="SZD11" s="26"/>
      <c r="SZE11" s="26"/>
      <c r="SZF11" s="27"/>
      <c r="SZG11" s="28"/>
      <c r="SZH11" s="26"/>
      <c r="SZI11" s="26"/>
      <c r="SZK11" s="25"/>
      <c r="SZL11" s="26"/>
      <c r="SZM11" s="26"/>
      <c r="SZN11" s="27"/>
      <c r="SZO11" s="28"/>
      <c r="SZP11" s="26"/>
      <c r="SZQ11" s="26"/>
      <c r="SZS11" s="25"/>
      <c r="SZT11" s="26"/>
      <c r="SZU11" s="26"/>
      <c r="SZV11" s="27"/>
      <c r="SZW11" s="28"/>
      <c r="SZX11" s="26"/>
      <c r="SZY11" s="26"/>
      <c r="TAA11" s="25"/>
      <c r="TAB11" s="26"/>
      <c r="TAC11" s="26"/>
      <c r="TAD11" s="27"/>
      <c r="TAE11" s="28"/>
      <c r="TAF11" s="26"/>
      <c r="TAG11" s="26"/>
      <c r="TAI11" s="25"/>
      <c r="TAJ11" s="26"/>
      <c r="TAK11" s="26"/>
      <c r="TAL11" s="27"/>
      <c r="TAM11" s="28"/>
      <c r="TAN11" s="26"/>
      <c r="TAO11" s="26"/>
      <c r="TAQ11" s="25"/>
      <c r="TAR11" s="26"/>
      <c r="TAS11" s="26"/>
      <c r="TAT11" s="27"/>
      <c r="TAU11" s="28"/>
      <c r="TAV11" s="26"/>
      <c r="TAW11" s="26"/>
      <c r="TAY11" s="25"/>
      <c r="TAZ11" s="26"/>
      <c r="TBA11" s="26"/>
      <c r="TBB11" s="27"/>
      <c r="TBC11" s="28"/>
      <c r="TBD11" s="26"/>
      <c r="TBE11" s="26"/>
      <c r="TBG11" s="25"/>
      <c r="TBH11" s="26"/>
      <c r="TBI11" s="26"/>
      <c r="TBJ11" s="27"/>
      <c r="TBK11" s="28"/>
      <c r="TBL11" s="26"/>
      <c r="TBM11" s="26"/>
      <c r="TBO11" s="25"/>
      <c r="TBP11" s="26"/>
      <c r="TBQ11" s="26"/>
      <c r="TBR11" s="27"/>
      <c r="TBS11" s="28"/>
      <c r="TBT11" s="26"/>
      <c r="TBU11" s="26"/>
      <c r="TBW11" s="25"/>
      <c r="TBX11" s="26"/>
      <c r="TBY11" s="26"/>
      <c r="TBZ11" s="27"/>
      <c r="TCA11" s="28"/>
      <c r="TCB11" s="26"/>
      <c r="TCC11" s="26"/>
      <c r="TCE11" s="25"/>
      <c r="TCF11" s="26"/>
      <c r="TCG11" s="26"/>
      <c r="TCH11" s="27"/>
      <c r="TCI11" s="28"/>
      <c r="TCJ11" s="26"/>
      <c r="TCK11" s="26"/>
      <c r="TCM11" s="25"/>
      <c r="TCN11" s="26"/>
      <c r="TCO11" s="26"/>
      <c r="TCP11" s="27"/>
      <c r="TCQ11" s="28"/>
      <c r="TCR11" s="26"/>
      <c r="TCS11" s="26"/>
      <c r="TCU11" s="25"/>
      <c r="TCV11" s="26"/>
      <c r="TCW11" s="26"/>
      <c r="TCX11" s="27"/>
      <c r="TCY11" s="28"/>
      <c r="TCZ11" s="26"/>
      <c r="TDA11" s="26"/>
      <c r="TDC11" s="25"/>
      <c r="TDD11" s="26"/>
      <c r="TDE11" s="26"/>
      <c r="TDF11" s="27"/>
      <c r="TDG11" s="28"/>
      <c r="TDH11" s="26"/>
      <c r="TDI11" s="26"/>
      <c r="TDK11" s="25"/>
      <c r="TDL11" s="26"/>
      <c r="TDM11" s="26"/>
      <c r="TDN11" s="27"/>
      <c r="TDO11" s="28"/>
      <c r="TDP11" s="26"/>
      <c r="TDQ11" s="26"/>
      <c r="TDS11" s="25"/>
      <c r="TDT11" s="26"/>
      <c r="TDU11" s="26"/>
      <c r="TDV11" s="27"/>
      <c r="TDW11" s="28"/>
      <c r="TDX11" s="26"/>
      <c r="TDY11" s="26"/>
      <c r="TEA11" s="25"/>
      <c r="TEB11" s="26"/>
      <c r="TEC11" s="26"/>
      <c r="TED11" s="27"/>
      <c r="TEE11" s="28"/>
      <c r="TEF11" s="26"/>
      <c r="TEG11" s="26"/>
      <c r="TEI11" s="25"/>
      <c r="TEJ11" s="26"/>
      <c r="TEK11" s="26"/>
      <c r="TEL11" s="27"/>
      <c r="TEM11" s="28"/>
      <c r="TEN11" s="26"/>
      <c r="TEO11" s="26"/>
      <c r="TEQ11" s="25"/>
      <c r="TER11" s="26"/>
      <c r="TES11" s="26"/>
      <c r="TET11" s="27"/>
      <c r="TEU11" s="28"/>
      <c r="TEV11" s="26"/>
      <c r="TEW11" s="26"/>
      <c r="TEY11" s="25"/>
      <c r="TEZ11" s="26"/>
      <c r="TFA11" s="26"/>
      <c r="TFB11" s="27"/>
      <c r="TFC11" s="28"/>
      <c r="TFD11" s="26"/>
      <c r="TFE11" s="26"/>
      <c r="TFG11" s="25"/>
      <c r="TFH11" s="26"/>
      <c r="TFI11" s="26"/>
      <c r="TFJ11" s="27"/>
      <c r="TFK11" s="28"/>
      <c r="TFL11" s="26"/>
      <c r="TFM11" s="26"/>
      <c r="TFO11" s="25"/>
      <c r="TFP11" s="26"/>
      <c r="TFQ11" s="26"/>
      <c r="TFR11" s="27"/>
      <c r="TFS11" s="28"/>
      <c r="TFT11" s="26"/>
      <c r="TFU11" s="26"/>
      <c r="TFW11" s="25"/>
      <c r="TFX11" s="26"/>
      <c r="TFY11" s="26"/>
      <c r="TFZ11" s="27"/>
      <c r="TGA11" s="28"/>
      <c r="TGB11" s="26"/>
      <c r="TGC11" s="26"/>
      <c r="TGE11" s="25"/>
      <c r="TGF11" s="26"/>
      <c r="TGG11" s="26"/>
      <c r="TGH11" s="27"/>
      <c r="TGI11" s="28"/>
      <c r="TGJ11" s="26"/>
      <c r="TGK11" s="26"/>
      <c r="TGM11" s="25"/>
      <c r="TGN11" s="26"/>
      <c r="TGO11" s="26"/>
      <c r="TGP11" s="27"/>
      <c r="TGQ11" s="28"/>
      <c r="TGR11" s="26"/>
      <c r="TGS11" s="26"/>
      <c r="TGU11" s="25"/>
      <c r="TGV11" s="26"/>
      <c r="TGW11" s="26"/>
      <c r="TGX11" s="27"/>
      <c r="TGY11" s="28"/>
      <c r="TGZ11" s="26"/>
      <c r="THA11" s="26"/>
      <c r="THC11" s="25"/>
      <c r="THD11" s="26"/>
      <c r="THE11" s="26"/>
      <c r="THF11" s="27"/>
      <c r="THG11" s="28"/>
      <c r="THH11" s="26"/>
      <c r="THI11" s="26"/>
      <c r="THK11" s="25"/>
      <c r="THL11" s="26"/>
      <c r="THM11" s="26"/>
      <c r="THN11" s="27"/>
      <c r="THO11" s="28"/>
      <c r="THP11" s="26"/>
      <c r="THQ11" s="26"/>
      <c r="THS11" s="25"/>
      <c r="THT11" s="26"/>
      <c r="THU11" s="26"/>
      <c r="THV11" s="27"/>
      <c r="THW11" s="28"/>
      <c r="THX11" s="26"/>
      <c r="THY11" s="26"/>
      <c r="TIA11" s="25"/>
      <c r="TIB11" s="26"/>
      <c r="TIC11" s="26"/>
      <c r="TID11" s="27"/>
      <c r="TIE11" s="28"/>
      <c r="TIF11" s="26"/>
      <c r="TIG11" s="26"/>
      <c r="TII11" s="25"/>
      <c r="TIJ11" s="26"/>
      <c r="TIK11" s="26"/>
      <c r="TIL11" s="27"/>
      <c r="TIM11" s="28"/>
      <c r="TIN11" s="26"/>
      <c r="TIO11" s="26"/>
      <c r="TIQ11" s="25"/>
      <c r="TIR11" s="26"/>
      <c r="TIS11" s="26"/>
      <c r="TIT11" s="27"/>
      <c r="TIU11" s="28"/>
      <c r="TIV11" s="26"/>
      <c r="TIW11" s="26"/>
      <c r="TIY11" s="25"/>
      <c r="TIZ11" s="26"/>
      <c r="TJA11" s="26"/>
      <c r="TJB11" s="27"/>
      <c r="TJC11" s="28"/>
      <c r="TJD11" s="26"/>
      <c r="TJE11" s="26"/>
      <c r="TJG11" s="25"/>
      <c r="TJH11" s="26"/>
      <c r="TJI11" s="26"/>
      <c r="TJJ11" s="27"/>
      <c r="TJK11" s="28"/>
      <c r="TJL11" s="26"/>
      <c r="TJM11" s="26"/>
      <c r="TJO11" s="25"/>
      <c r="TJP11" s="26"/>
      <c r="TJQ11" s="26"/>
      <c r="TJR11" s="27"/>
      <c r="TJS11" s="28"/>
      <c r="TJT11" s="26"/>
      <c r="TJU11" s="26"/>
      <c r="TJW11" s="25"/>
      <c r="TJX11" s="26"/>
      <c r="TJY11" s="26"/>
      <c r="TJZ11" s="27"/>
      <c r="TKA11" s="28"/>
      <c r="TKB11" s="26"/>
      <c r="TKC11" s="26"/>
      <c r="TKE11" s="25"/>
      <c r="TKF11" s="26"/>
      <c r="TKG11" s="26"/>
      <c r="TKH11" s="27"/>
      <c r="TKI11" s="28"/>
      <c r="TKJ11" s="26"/>
      <c r="TKK11" s="26"/>
      <c r="TKM11" s="25"/>
      <c r="TKN11" s="26"/>
      <c r="TKO11" s="26"/>
      <c r="TKP11" s="27"/>
      <c r="TKQ11" s="28"/>
      <c r="TKR11" s="26"/>
      <c r="TKS11" s="26"/>
      <c r="TKU11" s="25"/>
      <c r="TKV11" s="26"/>
      <c r="TKW11" s="26"/>
      <c r="TKX11" s="27"/>
      <c r="TKY11" s="28"/>
      <c r="TKZ11" s="26"/>
      <c r="TLA11" s="26"/>
      <c r="TLC11" s="25"/>
      <c r="TLD11" s="26"/>
      <c r="TLE11" s="26"/>
      <c r="TLF11" s="27"/>
      <c r="TLG11" s="28"/>
      <c r="TLH11" s="26"/>
      <c r="TLI11" s="26"/>
      <c r="TLK11" s="25"/>
      <c r="TLL11" s="26"/>
      <c r="TLM11" s="26"/>
      <c r="TLN11" s="27"/>
      <c r="TLO11" s="28"/>
      <c r="TLP11" s="26"/>
      <c r="TLQ11" s="26"/>
      <c r="TLS11" s="25"/>
      <c r="TLT11" s="26"/>
      <c r="TLU11" s="26"/>
      <c r="TLV11" s="27"/>
      <c r="TLW11" s="28"/>
      <c r="TLX11" s="26"/>
      <c r="TLY11" s="26"/>
      <c r="TMA11" s="25"/>
      <c r="TMB11" s="26"/>
      <c r="TMC11" s="26"/>
      <c r="TMD11" s="27"/>
      <c r="TME11" s="28"/>
      <c r="TMF11" s="26"/>
      <c r="TMG11" s="26"/>
      <c r="TMI11" s="25"/>
      <c r="TMJ11" s="26"/>
      <c r="TMK11" s="26"/>
      <c r="TML11" s="27"/>
      <c r="TMM11" s="28"/>
      <c r="TMN11" s="26"/>
      <c r="TMO11" s="26"/>
      <c r="TMQ11" s="25"/>
      <c r="TMR11" s="26"/>
      <c r="TMS11" s="26"/>
      <c r="TMT11" s="27"/>
      <c r="TMU11" s="28"/>
      <c r="TMV11" s="26"/>
      <c r="TMW11" s="26"/>
      <c r="TMY11" s="25"/>
      <c r="TMZ11" s="26"/>
      <c r="TNA11" s="26"/>
      <c r="TNB11" s="27"/>
      <c r="TNC11" s="28"/>
      <c r="TND11" s="26"/>
      <c r="TNE11" s="26"/>
      <c r="TNG11" s="25"/>
      <c r="TNH11" s="26"/>
      <c r="TNI11" s="26"/>
      <c r="TNJ11" s="27"/>
      <c r="TNK11" s="28"/>
      <c r="TNL11" s="26"/>
      <c r="TNM11" s="26"/>
      <c r="TNO11" s="25"/>
      <c r="TNP11" s="26"/>
      <c r="TNQ11" s="26"/>
      <c r="TNR11" s="27"/>
      <c r="TNS11" s="28"/>
      <c r="TNT11" s="26"/>
      <c r="TNU11" s="26"/>
      <c r="TNW11" s="25"/>
      <c r="TNX11" s="26"/>
      <c r="TNY11" s="26"/>
      <c r="TNZ11" s="27"/>
      <c r="TOA11" s="28"/>
      <c r="TOB11" s="26"/>
      <c r="TOC11" s="26"/>
      <c r="TOE11" s="25"/>
      <c r="TOF11" s="26"/>
      <c r="TOG11" s="26"/>
      <c r="TOH11" s="27"/>
      <c r="TOI11" s="28"/>
      <c r="TOJ11" s="26"/>
      <c r="TOK11" s="26"/>
      <c r="TOM11" s="25"/>
      <c r="TON11" s="26"/>
      <c r="TOO11" s="26"/>
      <c r="TOP11" s="27"/>
      <c r="TOQ11" s="28"/>
      <c r="TOR11" s="26"/>
      <c r="TOS11" s="26"/>
      <c r="TOU11" s="25"/>
      <c r="TOV11" s="26"/>
      <c r="TOW11" s="26"/>
      <c r="TOX11" s="27"/>
      <c r="TOY11" s="28"/>
      <c r="TOZ11" s="26"/>
      <c r="TPA11" s="26"/>
      <c r="TPC11" s="25"/>
      <c r="TPD11" s="26"/>
      <c r="TPE11" s="26"/>
      <c r="TPF11" s="27"/>
      <c r="TPG11" s="28"/>
      <c r="TPH11" s="26"/>
      <c r="TPI11" s="26"/>
      <c r="TPK11" s="25"/>
      <c r="TPL11" s="26"/>
      <c r="TPM11" s="26"/>
      <c r="TPN11" s="27"/>
      <c r="TPO11" s="28"/>
      <c r="TPP11" s="26"/>
      <c r="TPQ11" s="26"/>
      <c r="TPS11" s="25"/>
      <c r="TPT11" s="26"/>
      <c r="TPU11" s="26"/>
      <c r="TPV11" s="27"/>
      <c r="TPW11" s="28"/>
      <c r="TPX11" s="26"/>
      <c r="TPY11" s="26"/>
      <c r="TQA11" s="25"/>
      <c r="TQB11" s="26"/>
      <c r="TQC11" s="26"/>
      <c r="TQD11" s="27"/>
      <c r="TQE11" s="28"/>
      <c r="TQF11" s="26"/>
      <c r="TQG11" s="26"/>
      <c r="TQI11" s="25"/>
      <c r="TQJ11" s="26"/>
      <c r="TQK11" s="26"/>
      <c r="TQL11" s="27"/>
      <c r="TQM11" s="28"/>
      <c r="TQN11" s="26"/>
      <c r="TQO11" s="26"/>
      <c r="TQQ11" s="25"/>
      <c r="TQR11" s="26"/>
      <c r="TQS11" s="26"/>
      <c r="TQT11" s="27"/>
      <c r="TQU11" s="28"/>
      <c r="TQV11" s="26"/>
      <c r="TQW11" s="26"/>
      <c r="TQY11" s="25"/>
      <c r="TQZ11" s="26"/>
      <c r="TRA11" s="26"/>
      <c r="TRB11" s="27"/>
      <c r="TRC11" s="28"/>
      <c r="TRD11" s="26"/>
      <c r="TRE11" s="26"/>
      <c r="TRG11" s="25"/>
      <c r="TRH11" s="26"/>
      <c r="TRI11" s="26"/>
      <c r="TRJ11" s="27"/>
      <c r="TRK11" s="28"/>
      <c r="TRL11" s="26"/>
      <c r="TRM11" s="26"/>
      <c r="TRO11" s="25"/>
      <c r="TRP11" s="26"/>
      <c r="TRQ11" s="26"/>
      <c r="TRR11" s="27"/>
      <c r="TRS11" s="28"/>
      <c r="TRT11" s="26"/>
      <c r="TRU11" s="26"/>
      <c r="TRW11" s="25"/>
      <c r="TRX11" s="26"/>
      <c r="TRY11" s="26"/>
      <c r="TRZ11" s="27"/>
      <c r="TSA11" s="28"/>
      <c r="TSB11" s="26"/>
      <c r="TSC11" s="26"/>
      <c r="TSE11" s="25"/>
      <c r="TSF11" s="26"/>
      <c r="TSG11" s="26"/>
      <c r="TSH11" s="27"/>
      <c r="TSI11" s="28"/>
      <c r="TSJ11" s="26"/>
      <c r="TSK11" s="26"/>
      <c r="TSM11" s="25"/>
      <c r="TSN11" s="26"/>
      <c r="TSO11" s="26"/>
      <c r="TSP11" s="27"/>
      <c r="TSQ11" s="28"/>
      <c r="TSR11" s="26"/>
      <c r="TSS11" s="26"/>
      <c r="TSU11" s="25"/>
      <c r="TSV11" s="26"/>
      <c r="TSW11" s="26"/>
      <c r="TSX11" s="27"/>
      <c r="TSY11" s="28"/>
      <c r="TSZ11" s="26"/>
      <c r="TTA11" s="26"/>
      <c r="TTC11" s="25"/>
      <c r="TTD11" s="26"/>
      <c r="TTE11" s="26"/>
      <c r="TTF11" s="27"/>
      <c r="TTG11" s="28"/>
      <c r="TTH11" s="26"/>
      <c r="TTI11" s="26"/>
      <c r="TTK11" s="25"/>
      <c r="TTL11" s="26"/>
      <c r="TTM11" s="26"/>
      <c r="TTN11" s="27"/>
      <c r="TTO11" s="28"/>
      <c r="TTP11" s="26"/>
      <c r="TTQ11" s="26"/>
      <c r="TTS11" s="25"/>
      <c r="TTT11" s="26"/>
      <c r="TTU11" s="26"/>
      <c r="TTV11" s="27"/>
      <c r="TTW11" s="28"/>
      <c r="TTX11" s="26"/>
      <c r="TTY11" s="26"/>
      <c r="TUA11" s="25"/>
      <c r="TUB11" s="26"/>
      <c r="TUC11" s="26"/>
      <c r="TUD11" s="27"/>
      <c r="TUE11" s="28"/>
      <c r="TUF11" s="26"/>
      <c r="TUG11" s="26"/>
      <c r="TUI11" s="25"/>
      <c r="TUJ11" s="26"/>
      <c r="TUK11" s="26"/>
      <c r="TUL11" s="27"/>
      <c r="TUM11" s="28"/>
      <c r="TUN11" s="26"/>
      <c r="TUO11" s="26"/>
      <c r="TUQ11" s="25"/>
      <c r="TUR11" s="26"/>
      <c r="TUS11" s="26"/>
      <c r="TUT11" s="27"/>
      <c r="TUU11" s="28"/>
      <c r="TUV11" s="26"/>
      <c r="TUW11" s="26"/>
      <c r="TUY11" s="25"/>
      <c r="TUZ11" s="26"/>
      <c r="TVA11" s="26"/>
      <c r="TVB11" s="27"/>
      <c r="TVC11" s="28"/>
      <c r="TVD11" s="26"/>
      <c r="TVE11" s="26"/>
      <c r="TVG11" s="25"/>
      <c r="TVH11" s="26"/>
      <c r="TVI11" s="26"/>
      <c r="TVJ11" s="27"/>
      <c r="TVK11" s="28"/>
      <c r="TVL11" s="26"/>
      <c r="TVM11" s="26"/>
      <c r="TVO11" s="25"/>
      <c r="TVP11" s="26"/>
      <c r="TVQ11" s="26"/>
      <c r="TVR11" s="27"/>
      <c r="TVS11" s="28"/>
      <c r="TVT11" s="26"/>
      <c r="TVU11" s="26"/>
      <c r="TVW11" s="25"/>
      <c r="TVX11" s="26"/>
      <c r="TVY11" s="26"/>
      <c r="TVZ11" s="27"/>
      <c r="TWA11" s="28"/>
      <c r="TWB11" s="26"/>
      <c r="TWC11" s="26"/>
      <c r="TWE11" s="25"/>
      <c r="TWF11" s="26"/>
      <c r="TWG11" s="26"/>
      <c r="TWH11" s="27"/>
      <c r="TWI11" s="28"/>
      <c r="TWJ11" s="26"/>
      <c r="TWK11" s="26"/>
      <c r="TWM11" s="25"/>
      <c r="TWN11" s="26"/>
      <c r="TWO11" s="26"/>
      <c r="TWP11" s="27"/>
      <c r="TWQ11" s="28"/>
      <c r="TWR11" s="26"/>
      <c r="TWS11" s="26"/>
      <c r="TWU11" s="25"/>
      <c r="TWV11" s="26"/>
      <c r="TWW11" s="26"/>
      <c r="TWX11" s="27"/>
      <c r="TWY11" s="28"/>
      <c r="TWZ11" s="26"/>
      <c r="TXA11" s="26"/>
      <c r="TXC11" s="25"/>
      <c r="TXD11" s="26"/>
      <c r="TXE11" s="26"/>
      <c r="TXF11" s="27"/>
      <c r="TXG11" s="28"/>
      <c r="TXH11" s="26"/>
      <c r="TXI11" s="26"/>
      <c r="TXK11" s="25"/>
      <c r="TXL11" s="26"/>
      <c r="TXM11" s="26"/>
      <c r="TXN11" s="27"/>
      <c r="TXO11" s="28"/>
      <c r="TXP11" s="26"/>
      <c r="TXQ11" s="26"/>
      <c r="TXS11" s="25"/>
      <c r="TXT11" s="26"/>
      <c r="TXU11" s="26"/>
      <c r="TXV11" s="27"/>
      <c r="TXW11" s="28"/>
      <c r="TXX11" s="26"/>
      <c r="TXY11" s="26"/>
      <c r="TYA11" s="25"/>
      <c r="TYB11" s="26"/>
      <c r="TYC11" s="26"/>
      <c r="TYD11" s="27"/>
      <c r="TYE11" s="28"/>
      <c r="TYF11" s="26"/>
      <c r="TYG11" s="26"/>
      <c r="TYI11" s="25"/>
      <c r="TYJ11" s="26"/>
      <c r="TYK11" s="26"/>
      <c r="TYL11" s="27"/>
      <c r="TYM11" s="28"/>
      <c r="TYN11" s="26"/>
      <c r="TYO11" s="26"/>
      <c r="TYQ11" s="25"/>
      <c r="TYR11" s="26"/>
      <c r="TYS11" s="26"/>
      <c r="TYT11" s="27"/>
      <c r="TYU11" s="28"/>
      <c r="TYV11" s="26"/>
      <c r="TYW11" s="26"/>
      <c r="TYY11" s="25"/>
      <c r="TYZ11" s="26"/>
      <c r="TZA11" s="26"/>
      <c r="TZB11" s="27"/>
      <c r="TZC11" s="28"/>
      <c r="TZD11" s="26"/>
      <c r="TZE11" s="26"/>
      <c r="TZG11" s="25"/>
      <c r="TZH11" s="26"/>
      <c r="TZI11" s="26"/>
      <c r="TZJ11" s="27"/>
      <c r="TZK11" s="28"/>
      <c r="TZL11" s="26"/>
      <c r="TZM11" s="26"/>
      <c r="TZO11" s="25"/>
      <c r="TZP11" s="26"/>
      <c r="TZQ11" s="26"/>
      <c r="TZR11" s="27"/>
      <c r="TZS11" s="28"/>
      <c r="TZT11" s="26"/>
      <c r="TZU11" s="26"/>
      <c r="TZW11" s="25"/>
      <c r="TZX11" s="26"/>
      <c r="TZY11" s="26"/>
      <c r="TZZ11" s="27"/>
      <c r="UAA11" s="28"/>
      <c r="UAB11" s="26"/>
      <c r="UAC11" s="26"/>
      <c r="UAE11" s="25"/>
      <c r="UAF11" s="26"/>
      <c r="UAG11" s="26"/>
      <c r="UAH11" s="27"/>
      <c r="UAI11" s="28"/>
      <c r="UAJ11" s="26"/>
      <c r="UAK11" s="26"/>
      <c r="UAM11" s="25"/>
      <c r="UAN11" s="26"/>
      <c r="UAO11" s="26"/>
      <c r="UAP11" s="27"/>
      <c r="UAQ11" s="28"/>
      <c r="UAR11" s="26"/>
      <c r="UAS11" s="26"/>
      <c r="UAU11" s="25"/>
      <c r="UAV11" s="26"/>
      <c r="UAW11" s="26"/>
      <c r="UAX11" s="27"/>
      <c r="UAY11" s="28"/>
      <c r="UAZ11" s="26"/>
      <c r="UBA11" s="26"/>
      <c r="UBC11" s="25"/>
      <c r="UBD11" s="26"/>
      <c r="UBE11" s="26"/>
      <c r="UBF11" s="27"/>
      <c r="UBG11" s="28"/>
      <c r="UBH11" s="26"/>
      <c r="UBI11" s="26"/>
      <c r="UBK11" s="25"/>
      <c r="UBL11" s="26"/>
      <c r="UBM11" s="26"/>
      <c r="UBN11" s="27"/>
      <c r="UBO11" s="28"/>
      <c r="UBP11" s="26"/>
      <c r="UBQ11" s="26"/>
      <c r="UBS11" s="25"/>
      <c r="UBT11" s="26"/>
      <c r="UBU11" s="26"/>
      <c r="UBV11" s="27"/>
      <c r="UBW11" s="28"/>
      <c r="UBX11" s="26"/>
      <c r="UBY11" s="26"/>
      <c r="UCA11" s="25"/>
      <c r="UCB11" s="26"/>
      <c r="UCC11" s="26"/>
      <c r="UCD11" s="27"/>
      <c r="UCE11" s="28"/>
      <c r="UCF11" s="26"/>
      <c r="UCG11" s="26"/>
      <c r="UCI11" s="25"/>
      <c r="UCJ11" s="26"/>
      <c r="UCK11" s="26"/>
      <c r="UCL11" s="27"/>
      <c r="UCM11" s="28"/>
      <c r="UCN11" s="26"/>
      <c r="UCO11" s="26"/>
      <c r="UCQ11" s="25"/>
      <c r="UCR11" s="26"/>
      <c r="UCS11" s="26"/>
      <c r="UCT11" s="27"/>
      <c r="UCU11" s="28"/>
      <c r="UCV11" s="26"/>
      <c r="UCW11" s="26"/>
      <c r="UCY11" s="25"/>
      <c r="UCZ11" s="26"/>
      <c r="UDA11" s="26"/>
      <c r="UDB11" s="27"/>
      <c r="UDC11" s="28"/>
      <c r="UDD11" s="26"/>
      <c r="UDE11" s="26"/>
      <c r="UDG11" s="25"/>
      <c r="UDH11" s="26"/>
      <c r="UDI11" s="26"/>
      <c r="UDJ11" s="27"/>
      <c r="UDK11" s="28"/>
      <c r="UDL11" s="26"/>
      <c r="UDM11" s="26"/>
      <c r="UDO11" s="25"/>
      <c r="UDP11" s="26"/>
      <c r="UDQ11" s="26"/>
      <c r="UDR11" s="27"/>
      <c r="UDS11" s="28"/>
      <c r="UDT11" s="26"/>
      <c r="UDU11" s="26"/>
      <c r="UDW11" s="25"/>
      <c r="UDX11" s="26"/>
      <c r="UDY11" s="26"/>
      <c r="UDZ11" s="27"/>
      <c r="UEA11" s="28"/>
      <c r="UEB11" s="26"/>
      <c r="UEC11" s="26"/>
      <c r="UEE11" s="25"/>
      <c r="UEF11" s="26"/>
      <c r="UEG11" s="26"/>
      <c r="UEH11" s="27"/>
      <c r="UEI11" s="28"/>
      <c r="UEJ11" s="26"/>
      <c r="UEK11" s="26"/>
      <c r="UEM11" s="25"/>
      <c r="UEN11" s="26"/>
      <c r="UEO11" s="26"/>
      <c r="UEP11" s="27"/>
      <c r="UEQ11" s="28"/>
      <c r="UER11" s="26"/>
      <c r="UES11" s="26"/>
      <c r="UEU11" s="25"/>
      <c r="UEV11" s="26"/>
      <c r="UEW11" s="26"/>
      <c r="UEX11" s="27"/>
      <c r="UEY11" s="28"/>
      <c r="UEZ11" s="26"/>
      <c r="UFA11" s="26"/>
      <c r="UFC11" s="25"/>
      <c r="UFD11" s="26"/>
      <c r="UFE11" s="26"/>
      <c r="UFF11" s="27"/>
      <c r="UFG11" s="28"/>
      <c r="UFH11" s="26"/>
      <c r="UFI11" s="26"/>
      <c r="UFK11" s="25"/>
      <c r="UFL11" s="26"/>
      <c r="UFM11" s="26"/>
      <c r="UFN11" s="27"/>
      <c r="UFO11" s="28"/>
      <c r="UFP11" s="26"/>
      <c r="UFQ11" s="26"/>
      <c r="UFS11" s="25"/>
      <c r="UFT11" s="26"/>
      <c r="UFU11" s="26"/>
      <c r="UFV11" s="27"/>
      <c r="UFW11" s="28"/>
      <c r="UFX11" s="26"/>
      <c r="UFY11" s="26"/>
      <c r="UGA11" s="25"/>
      <c r="UGB11" s="26"/>
      <c r="UGC11" s="26"/>
      <c r="UGD11" s="27"/>
      <c r="UGE11" s="28"/>
      <c r="UGF11" s="26"/>
      <c r="UGG11" s="26"/>
      <c r="UGI11" s="25"/>
      <c r="UGJ11" s="26"/>
      <c r="UGK11" s="26"/>
      <c r="UGL11" s="27"/>
      <c r="UGM11" s="28"/>
      <c r="UGN11" s="26"/>
      <c r="UGO11" s="26"/>
      <c r="UGQ11" s="25"/>
      <c r="UGR11" s="26"/>
      <c r="UGS11" s="26"/>
      <c r="UGT11" s="27"/>
      <c r="UGU11" s="28"/>
      <c r="UGV11" s="26"/>
      <c r="UGW11" s="26"/>
      <c r="UGY11" s="25"/>
      <c r="UGZ11" s="26"/>
      <c r="UHA11" s="26"/>
      <c r="UHB11" s="27"/>
      <c r="UHC11" s="28"/>
      <c r="UHD11" s="26"/>
      <c r="UHE11" s="26"/>
      <c r="UHG11" s="25"/>
      <c r="UHH11" s="26"/>
      <c r="UHI11" s="26"/>
      <c r="UHJ11" s="27"/>
      <c r="UHK11" s="28"/>
      <c r="UHL11" s="26"/>
      <c r="UHM11" s="26"/>
      <c r="UHO11" s="25"/>
      <c r="UHP11" s="26"/>
      <c r="UHQ11" s="26"/>
      <c r="UHR11" s="27"/>
      <c r="UHS11" s="28"/>
      <c r="UHT11" s="26"/>
      <c r="UHU11" s="26"/>
      <c r="UHW11" s="25"/>
      <c r="UHX11" s="26"/>
      <c r="UHY11" s="26"/>
      <c r="UHZ11" s="27"/>
      <c r="UIA11" s="28"/>
      <c r="UIB11" s="26"/>
      <c r="UIC11" s="26"/>
      <c r="UIE11" s="25"/>
      <c r="UIF11" s="26"/>
      <c r="UIG11" s="26"/>
      <c r="UIH11" s="27"/>
      <c r="UII11" s="28"/>
      <c r="UIJ11" s="26"/>
      <c r="UIK11" s="26"/>
      <c r="UIM11" s="25"/>
      <c r="UIN11" s="26"/>
      <c r="UIO11" s="26"/>
      <c r="UIP11" s="27"/>
      <c r="UIQ11" s="28"/>
      <c r="UIR11" s="26"/>
      <c r="UIS11" s="26"/>
      <c r="UIU11" s="25"/>
      <c r="UIV11" s="26"/>
      <c r="UIW11" s="26"/>
      <c r="UIX11" s="27"/>
      <c r="UIY11" s="28"/>
      <c r="UIZ11" s="26"/>
      <c r="UJA11" s="26"/>
      <c r="UJC11" s="25"/>
      <c r="UJD11" s="26"/>
      <c r="UJE11" s="26"/>
      <c r="UJF11" s="27"/>
      <c r="UJG11" s="28"/>
      <c r="UJH11" s="26"/>
      <c r="UJI11" s="26"/>
      <c r="UJK11" s="25"/>
      <c r="UJL11" s="26"/>
      <c r="UJM11" s="26"/>
      <c r="UJN11" s="27"/>
      <c r="UJO11" s="28"/>
      <c r="UJP11" s="26"/>
      <c r="UJQ11" s="26"/>
      <c r="UJS11" s="25"/>
      <c r="UJT11" s="26"/>
      <c r="UJU11" s="26"/>
      <c r="UJV11" s="27"/>
      <c r="UJW11" s="28"/>
      <c r="UJX11" s="26"/>
      <c r="UJY11" s="26"/>
      <c r="UKA11" s="25"/>
      <c r="UKB11" s="26"/>
      <c r="UKC11" s="26"/>
      <c r="UKD11" s="27"/>
      <c r="UKE11" s="28"/>
      <c r="UKF11" s="26"/>
      <c r="UKG11" s="26"/>
      <c r="UKI11" s="25"/>
      <c r="UKJ11" s="26"/>
      <c r="UKK11" s="26"/>
      <c r="UKL11" s="27"/>
      <c r="UKM11" s="28"/>
      <c r="UKN11" s="26"/>
      <c r="UKO11" s="26"/>
      <c r="UKQ11" s="25"/>
      <c r="UKR11" s="26"/>
      <c r="UKS11" s="26"/>
      <c r="UKT11" s="27"/>
      <c r="UKU11" s="28"/>
      <c r="UKV11" s="26"/>
      <c r="UKW11" s="26"/>
      <c r="UKY11" s="25"/>
      <c r="UKZ11" s="26"/>
      <c r="ULA11" s="26"/>
      <c r="ULB11" s="27"/>
      <c r="ULC11" s="28"/>
      <c r="ULD11" s="26"/>
      <c r="ULE11" s="26"/>
      <c r="ULG11" s="25"/>
      <c r="ULH11" s="26"/>
      <c r="ULI11" s="26"/>
      <c r="ULJ11" s="27"/>
      <c r="ULK11" s="28"/>
      <c r="ULL11" s="26"/>
      <c r="ULM11" s="26"/>
      <c r="ULO11" s="25"/>
      <c r="ULP11" s="26"/>
      <c r="ULQ11" s="26"/>
      <c r="ULR11" s="27"/>
      <c r="ULS11" s="28"/>
      <c r="ULT11" s="26"/>
      <c r="ULU11" s="26"/>
      <c r="ULW11" s="25"/>
      <c r="ULX11" s="26"/>
      <c r="ULY11" s="26"/>
      <c r="ULZ11" s="27"/>
      <c r="UMA11" s="28"/>
      <c r="UMB11" s="26"/>
      <c r="UMC11" s="26"/>
      <c r="UME11" s="25"/>
      <c r="UMF11" s="26"/>
      <c r="UMG11" s="26"/>
      <c r="UMH11" s="27"/>
      <c r="UMI11" s="28"/>
      <c r="UMJ11" s="26"/>
      <c r="UMK11" s="26"/>
      <c r="UMM11" s="25"/>
      <c r="UMN11" s="26"/>
      <c r="UMO11" s="26"/>
      <c r="UMP11" s="27"/>
      <c r="UMQ11" s="28"/>
      <c r="UMR11" s="26"/>
      <c r="UMS11" s="26"/>
      <c r="UMU11" s="25"/>
      <c r="UMV11" s="26"/>
      <c r="UMW11" s="26"/>
      <c r="UMX11" s="27"/>
      <c r="UMY11" s="28"/>
      <c r="UMZ11" s="26"/>
      <c r="UNA11" s="26"/>
      <c r="UNC11" s="25"/>
      <c r="UND11" s="26"/>
      <c r="UNE11" s="26"/>
      <c r="UNF11" s="27"/>
      <c r="UNG11" s="28"/>
      <c r="UNH11" s="26"/>
      <c r="UNI11" s="26"/>
      <c r="UNK11" s="25"/>
      <c r="UNL11" s="26"/>
      <c r="UNM11" s="26"/>
      <c r="UNN11" s="27"/>
      <c r="UNO11" s="28"/>
      <c r="UNP11" s="26"/>
      <c r="UNQ11" s="26"/>
      <c r="UNS11" s="25"/>
      <c r="UNT11" s="26"/>
      <c r="UNU11" s="26"/>
      <c r="UNV11" s="27"/>
      <c r="UNW11" s="28"/>
      <c r="UNX11" s="26"/>
      <c r="UNY11" s="26"/>
      <c r="UOA11" s="25"/>
      <c r="UOB11" s="26"/>
      <c r="UOC11" s="26"/>
      <c r="UOD11" s="27"/>
      <c r="UOE11" s="28"/>
      <c r="UOF11" s="26"/>
      <c r="UOG11" s="26"/>
      <c r="UOI11" s="25"/>
      <c r="UOJ11" s="26"/>
      <c r="UOK11" s="26"/>
      <c r="UOL11" s="27"/>
      <c r="UOM11" s="28"/>
      <c r="UON11" s="26"/>
      <c r="UOO11" s="26"/>
      <c r="UOQ11" s="25"/>
      <c r="UOR11" s="26"/>
      <c r="UOS11" s="26"/>
      <c r="UOT11" s="27"/>
      <c r="UOU11" s="28"/>
      <c r="UOV11" s="26"/>
      <c r="UOW11" s="26"/>
      <c r="UOY11" s="25"/>
      <c r="UOZ11" s="26"/>
      <c r="UPA11" s="26"/>
      <c r="UPB11" s="27"/>
      <c r="UPC11" s="28"/>
      <c r="UPD11" s="26"/>
      <c r="UPE11" s="26"/>
      <c r="UPG11" s="25"/>
      <c r="UPH11" s="26"/>
      <c r="UPI11" s="26"/>
      <c r="UPJ11" s="27"/>
      <c r="UPK11" s="28"/>
      <c r="UPL11" s="26"/>
      <c r="UPM11" s="26"/>
      <c r="UPO11" s="25"/>
      <c r="UPP11" s="26"/>
      <c r="UPQ11" s="26"/>
      <c r="UPR11" s="27"/>
      <c r="UPS11" s="28"/>
      <c r="UPT11" s="26"/>
      <c r="UPU11" s="26"/>
      <c r="UPW11" s="25"/>
      <c r="UPX11" s="26"/>
      <c r="UPY11" s="26"/>
      <c r="UPZ11" s="27"/>
      <c r="UQA11" s="28"/>
      <c r="UQB11" s="26"/>
      <c r="UQC11" s="26"/>
      <c r="UQE11" s="25"/>
      <c r="UQF11" s="26"/>
      <c r="UQG11" s="26"/>
      <c r="UQH11" s="27"/>
      <c r="UQI11" s="28"/>
      <c r="UQJ11" s="26"/>
      <c r="UQK11" s="26"/>
      <c r="UQM11" s="25"/>
      <c r="UQN11" s="26"/>
      <c r="UQO11" s="26"/>
      <c r="UQP11" s="27"/>
      <c r="UQQ11" s="28"/>
      <c r="UQR11" s="26"/>
      <c r="UQS11" s="26"/>
      <c r="UQU11" s="25"/>
      <c r="UQV11" s="26"/>
      <c r="UQW11" s="26"/>
      <c r="UQX11" s="27"/>
      <c r="UQY11" s="28"/>
      <c r="UQZ11" s="26"/>
      <c r="URA11" s="26"/>
      <c r="URC11" s="25"/>
      <c r="URD11" s="26"/>
      <c r="URE11" s="26"/>
      <c r="URF11" s="27"/>
      <c r="URG11" s="28"/>
      <c r="URH11" s="26"/>
      <c r="URI11" s="26"/>
      <c r="URK11" s="25"/>
      <c r="URL11" s="26"/>
      <c r="URM11" s="26"/>
      <c r="URN11" s="27"/>
      <c r="URO11" s="28"/>
      <c r="URP11" s="26"/>
      <c r="URQ11" s="26"/>
      <c r="URS11" s="25"/>
      <c r="URT11" s="26"/>
      <c r="URU11" s="26"/>
      <c r="URV11" s="27"/>
      <c r="URW11" s="28"/>
      <c r="URX11" s="26"/>
      <c r="URY11" s="26"/>
      <c r="USA11" s="25"/>
      <c r="USB11" s="26"/>
      <c r="USC11" s="26"/>
      <c r="USD11" s="27"/>
      <c r="USE11" s="28"/>
      <c r="USF11" s="26"/>
      <c r="USG11" s="26"/>
      <c r="USI11" s="25"/>
      <c r="USJ11" s="26"/>
      <c r="USK11" s="26"/>
      <c r="USL11" s="27"/>
      <c r="USM11" s="28"/>
      <c r="USN11" s="26"/>
      <c r="USO11" s="26"/>
      <c r="USQ11" s="25"/>
      <c r="USR11" s="26"/>
      <c r="USS11" s="26"/>
      <c r="UST11" s="27"/>
      <c r="USU11" s="28"/>
      <c r="USV11" s="26"/>
      <c r="USW11" s="26"/>
      <c r="USY11" s="25"/>
      <c r="USZ11" s="26"/>
      <c r="UTA11" s="26"/>
      <c r="UTB11" s="27"/>
      <c r="UTC11" s="28"/>
      <c r="UTD11" s="26"/>
      <c r="UTE11" s="26"/>
      <c r="UTG11" s="25"/>
      <c r="UTH11" s="26"/>
      <c r="UTI11" s="26"/>
      <c r="UTJ11" s="27"/>
      <c r="UTK11" s="28"/>
      <c r="UTL11" s="26"/>
      <c r="UTM11" s="26"/>
      <c r="UTO11" s="25"/>
      <c r="UTP11" s="26"/>
      <c r="UTQ11" s="26"/>
      <c r="UTR11" s="27"/>
      <c r="UTS11" s="28"/>
      <c r="UTT11" s="26"/>
      <c r="UTU11" s="26"/>
      <c r="UTW11" s="25"/>
      <c r="UTX11" s="26"/>
      <c r="UTY11" s="26"/>
      <c r="UTZ11" s="27"/>
      <c r="UUA11" s="28"/>
      <c r="UUB11" s="26"/>
      <c r="UUC11" s="26"/>
      <c r="UUE11" s="25"/>
      <c r="UUF11" s="26"/>
      <c r="UUG11" s="26"/>
      <c r="UUH11" s="27"/>
      <c r="UUI11" s="28"/>
      <c r="UUJ11" s="26"/>
      <c r="UUK11" s="26"/>
      <c r="UUM11" s="25"/>
      <c r="UUN11" s="26"/>
      <c r="UUO11" s="26"/>
      <c r="UUP11" s="27"/>
      <c r="UUQ11" s="28"/>
      <c r="UUR11" s="26"/>
      <c r="UUS11" s="26"/>
      <c r="UUU11" s="25"/>
      <c r="UUV11" s="26"/>
      <c r="UUW11" s="26"/>
      <c r="UUX11" s="27"/>
      <c r="UUY11" s="28"/>
      <c r="UUZ11" s="26"/>
      <c r="UVA11" s="26"/>
      <c r="UVC11" s="25"/>
      <c r="UVD11" s="26"/>
      <c r="UVE11" s="26"/>
      <c r="UVF11" s="27"/>
      <c r="UVG11" s="28"/>
      <c r="UVH11" s="26"/>
      <c r="UVI11" s="26"/>
      <c r="UVK11" s="25"/>
      <c r="UVL11" s="26"/>
      <c r="UVM11" s="26"/>
      <c r="UVN11" s="27"/>
      <c r="UVO11" s="28"/>
      <c r="UVP11" s="26"/>
      <c r="UVQ11" s="26"/>
      <c r="UVS11" s="25"/>
      <c r="UVT11" s="26"/>
      <c r="UVU11" s="26"/>
      <c r="UVV11" s="27"/>
      <c r="UVW11" s="28"/>
      <c r="UVX11" s="26"/>
      <c r="UVY11" s="26"/>
      <c r="UWA11" s="25"/>
      <c r="UWB11" s="26"/>
      <c r="UWC11" s="26"/>
      <c r="UWD11" s="27"/>
      <c r="UWE11" s="28"/>
      <c r="UWF11" s="26"/>
      <c r="UWG11" s="26"/>
      <c r="UWI11" s="25"/>
      <c r="UWJ11" s="26"/>
      <c r="UWK11" s="26"/>
      <c r="UWL11" s="27"/>
      <c r="UWM11" s="28"/>
      <c r="UWN11" s="26"/>
      <c r="UWO11" s="26"/>
      <c r="UWQ11" s="25"/>
      <c r="UWR11" s="26"/>
      <c r="UWS11" s="26"/>
      <c r="UWT11" s="27"/>
      <c r="UWU11" s="28"/>
      <c r="UWV11" s="26"/>
      <c r="UWW11" s="26"/>
      <c r="UWY11" s="25"/>
      <c r="UWZ11" s="26"/>
      <c r="UXA11" s="26"/>
      <c r="UXB11" s="27"/>
      <c r="UXC11" s="28"/>
      <c r="UXD11" s="26"/>
      <c r="UXE11" s="26"/>
      <c r="UXG11" s="25"/>
      <c r="UXH11" s="26"/>
      <c r="UXI11" s="26"/>
      <c r="UXJ11" s="27"/>
      <c r="UXK11" s="28"/>
      <c r="UXL11" s="26"/>
      <c r="UXM11" s="26"/>
      <c r="UXO11" s="25"/>
      <c r="UXP11" s="26"/>
      <c r="UXQ11" s="26"/>
      <c r="UXR11" s="27"/>
      <c r="UXS11" s="28"/>
      <c r="UXT11" s="26"/>
      <c r="UXU11" s="26"/>
      <c r="UXW11" s="25"/>
      <c r="UXX11" s="26"/>
      <c r="UXY11" s="26"/>
      <c r="UXZ11" s="27"/>
      <c r="UYA11" s="28"/>
      <c r="UYB11" s="26"/>
      <c r="UYC11" s="26"/>
      <c r="UYE11" s="25"/>
      <c r="UYF11" s="26"/>
      <c r="UYG11" s="26"/>
      <c r="UYH11" s="27"/>
      <c r="UYI11" s="28"/>
      <c r="UYJ11" s="26"/>
      <c r="UYK11" s="26"/>
      <c r="UYM11" s="25"/>
      <c r="UYN11" s="26"/>
      <c r="UYO11" s="26"/>
      <c r="UYP11" s="27"/>
      <c r="UYQ11" s="28"/>
      <c r="UYR11" s="26"/>
      <c r="UYS11" s="26"/>
      <c r="UYU11" s="25"/>
      <c r="UYV11" s="26"/>
      <c r="UYW11" s="26"/>
      <c r="UYX11" s="27"/>
      <c r="UYY11" s="28"/>
      <c r="UYZ11" s="26"/>
      <c r="UZA11" s="26"/>
      <c r="UZC11" s="25"/>
      <c r="UZD11" s="26"/>
      <c r="UZE11" s="26"/>
      <c r="UZF11" s="27"/>
      <c r="UZG11" s="28"/>
      <c r="UZH11" s="26"/>
      <c r="UZI11" s="26"/>
      <c r="UZK11" s="25"/>
      <c r="UZL11" s="26"/>
      <c r="UZM11" s="26"/>
      <c r="UZN11" s="27"/>
      <c r="UZO11" s="28"/>
      <c r="UZP11" s="26"/>
      <c r="UZQ11" s="26"/>
      <c r="UZS11" s="25"/>
      <c r="UZT11" s="26"/>
      <c r="UZU11" s="26"/>
      <c r="UZV11" s="27"/>
      <c r="UZW11" s="28"/>
      <c r="UZX11" s="26"/>
      <c r="UZY11" s="26"/>
      <c r="VAA11" s="25"/>
      <c r="VAB11" s="26"/>
      <c r="VAC11" s="26"/>
      <c r="VAD11" s="27"/>
      <c r="VAE11" s="28"/>
      <c r="VAF11" s="26"/>
      <c r="VAG11" s="26"/>
      <c r="VAI11" s="25"/>
      <c r="VAJ11" s="26"/>
      <c r="VAK11" s="26"/>
      <c r="VAL11" s="27"/>
      <c r="VAM11" s="28"/>
      <c r="VAN11" s="26"/>
      <c r="VAO11" s="26"/>
      <c r="VAQ11" s="25"/>
      <c r="VAR11" s="26"/>
      <c r="VAS11" s="26"/>
      <c r="VAT11" s="27"/>
      <c r="VAU11" s="28"/>
      <c r="VAV11" s="26"/>
      <c r="VAW11" s="26"/>
      <c r="VAY11" s="25"/>
      <c r="VAZ11" s="26"/>
      <c r="VBA11" s="26"/>
      <c r="VBB11" s="27"/>
      <c r="VBC11" s="28"/>
      <c r="VBD11" s="26"/>
      <c r="VBE11" s="26"/>
      <c r="VBG11" s="25"/>
      <c r="VBH11" s="26"/>
      <c r="VBI11" s="26"/>
      <c r="VBJ11" s="27"/>
      <c r="VBK11" s="28"/>
      <c r="VBL11" s="26"/>
      <c r="VBM11" s="26"/>
      <c r="VBO11" s="25"/>
      <c r="VBP11" s="26"/>
      <c r="VBQ11" s="26"/>
      <c r="VBR11" s="27"/>
      <c r="VBS11" s="28"/>
      <c r="VBT11" s="26"/>
      <c r="VBU11" s="26"/>
      <c r="VBW11" s="25"/>
      <c r="VBX11" s="26"/>
      <c r="VBY11" s="26"/>
      <c r="VBZ11" s="27"/>
      <c r="VCA11" s="28"/>
      <c r="VCB11" s="26"/>
      <c r="VCC11" s="26"/>
      <c r="VCE11" s="25"/>
      <c r="VCF11" s="26"/>
      <c r="VCG11" s="26"/>
      <c r="VCH11" s="27"/>
      <c r="VCI11" s="28"/>
      <c r="VCJ11" s="26"/>
      <c r="VCK11" s="26"/>
      <c r="VCM11" s="25"/>
      <c r="VCN11" s="26"/>
      <c r="VCO11" s="26"/>
      <c r="VCP11" s="27"/>
      <c r="VCQ11" s="28"/>
      <c r="VCR11" s="26"/>
      <c r="VCS11" s="26"/>
      <c r="VCU11" s="25"/>
      <c r="VCV11" s="26"/>
      <c r="VCW11" s="26"/>
      <c r="VCX11" s="27"/>
      <c r="VCY11" s="28"/>
      <c r="VCZ11" s="26"/>
      <c r="VDA11" s="26"/>
      <c r="VDC11" s="25"/>
      <c r="VDD11" s="26"/>
      <c r="VDE11" s="26"/>
      <c r="VDF11" s="27"/>
      <c r="VDG11" s="28"/>
      <c r="VDH11" s="26"/>
      <c r="VDI11" s="26"/>
      <c r="VDK11" s="25"/>
      <c r="VDL11" s="26"/>
      <c r="VDM11" s="26"/>
      <c r="VDN11" s="27"/>
      <c r="VDO11" s="28"/>
      <c r="VDP11" s="26"/>
      <c r="VDQ11" s="26"/>
      <c r="VDS11" s="25"/>
      <c r="VDT11" s="26"/>
      <c r="VDU11" s="26"/>
      <c r="VDV11" s="27"/>
      <c r="VDW11" s="28"/>
      <c r="VDX11" s="26"/>
      <c r="VDY11" s="26"/>
      <c r="VEA11" s="25"/>
      <c r="VEB11" s="26"/>
      <c r="VEC11" s="26"/>
      <c r="VED11" s="27"/>
      <c r="VEE11" s="28"/>
      <c r="VEF11" s="26"/>
      <c r="VEG11" s="26"/>
      <c r="VEI11" s="25"/>
      <c r="VEJ11" s="26"/>
      <c r="VEK11" s="26"/>
      <c r="VEL11" s="27"/>
      <c r="VEM11" s="28"/>
      <c r="VEN11" s="26"/>
      <c r="VEO11" s="26"/>
      <c r="VEQ11" s="25"/>
      <c r="VER11" s="26"/>
      <c r="VES11" s="26"/>
      <c r="VET11" s="27"/>
      <c r="VEU11" s="28"/>
      <c r="VEV11" s="26"/>
      <c r="VEW11" s="26"/>
      <c r="VEY11" s="25"/>
      <c r="VEZ11" s="26"/>
      <c r="VFA11" s="26"/>
      <c r="VFB11" s="27"/>
      <c r="VFC11" s="28"/>
      <c r="VFD11" s="26"/>
      <c r="VFE11" s="26"/>
      <c r="VFG11" s="25"/>
      <c r="VFH11" s="26"/>
      <c r="VFI11" s="26"/>
      <c r="VFJ11" s="27"/>
      <c r="VFK11" s="28"/>
      <c r="VFL11" s="26"/>
      <c r="VFM11" s="26"/>
      <c r="VFO11" s="25"/>
      <c r="VFP11" s="26"/>
      <c r="VFQ11" s="26"/>
      <c r="VFR11" s="27"/>
      <c r="VFS11" s="28"/>
      <c r="VFT11" s="26"/>
      <c r="VFU11" s="26"/>
      <c r="VFW11" s="25"/>
      <c r="VFX11" s="26"/>
      <c r="VFY11" s="26"/>
      <c r="VFZ11" s="27"/>
      <c r="VGA11" s="28"/>
      <c r="VGB11" s="26"/>
      <c r="VGC11" s="26"/>
      <c r="VGE11" s="25"/>
      <c r="VGF11" s="26"/>
      <c r="VGG11" s="26"/>
      <c r="VGH11" s="27"/>
      <c r="VGI11" s="28"/>
      <c r="VGJ11" s="26"/>
      <c r="VGK11" s="26"/>
      <c r="VGM11" s="25"/>
      <c r="VGN11" s="26"/>
      <c r="VGO11" s="26"/>
      <c r="VGP11" s="27"/>
      <c r="VGQ11" s="28"/>
      <c r="VGR11" s="26"/>
      <c r="VGS11" s="26"/>
      <c r="VGU11" s="25"/>
      <c r="VGV11" s="26"/>
      <c r="VGW11" s="26"/>
      <c r="VGX11" s="27"/>
      <c r="VGY11" s="28"/>
      <c r="VGZ11" s="26"/>
      <c r="VHA11" s="26"/>
      <c r="VHC11" s="25"/>
      <c r="VHD11" s="26"/>
      <c r="VHE11" s="26"/>
      <c r="VHF11" s="27"/>
      <c r="VHG11" s="28"/>
      <c r="VHH11" s="26"/>
      <c r="VHI11" s="26"/>
      <c r="VHK11" s="25"/>
      <c r="VHL11" s="26"/>
      <c r="VHM11" s="26"/>
      <c r="VHN11" s="27"/>
      <c r="VHO11" s="28"/>
      <c r="VHP11" s="26"/>
      <c r="VHQ11" s="26"/>
      <c r="VHS11" s="25"/>
      <c r="VHT11" s="26"/>
      <c r="VHU11" s="26"/>
      <c r="VHV11" s="27"/>
      <c r="VHW11" s="28"/>
      <c r="VHX11" s="26"/>
      <c r="VHY11" s="26"/>
      <c r="VIA11" s="25"/>
      <c r="VIB11" s="26"/>
      <c r="VIC11" s="26"/>
      <c r="VID11" s="27"/>
      <c r="VIE11" s="28"/>
      <c r="VIF11" s="26"/>
      <c r="VIG11" s="26"/>
      <c r="VII11" s="25"/>
      <c r="VIJ11" s="26"/>
      <c r="VIK11" s="26"/>
      <c r="VIL11" s="27"/>
      <c r="VIM11" s="28"/>
      <c r="VIN11" s="26"/>
      <c r="VIO11" s="26"/>
      <c r="VIQ11" s="25"/>
      <c r="VIR11" s="26"/>
      <c r="VIS11" s="26"/>
      <c r="VIT11" s="27"/>
      <c r="VIU11" s="28"/>
      <c r="VIV11" s="26"/>
      <c r="VIW11" s="26"/>
      <c r="VIY11" s="25"/>
      <c r="VIZ11" s="26"/>
      <c r="VJA11" s="26"/>
      <c r="VJB11" s="27"/>
      <c r="VJC11" s="28"/>
      <c r="VJD11" s="26"/>
      <c r="VJE11" s="26"/>
      <c r="VJG11" s="25"/>
      <c r="VJH11" s="26"/>
      <c r="VJI11" s="26"/>
      <c r="VJJ11" s="27"/>
      <c r="VJK11" s="28"/>
      <c r="VJL11" s="26"/>
      <c r="VJM11" s="26"/>
      <c r="VJO11" s="25"/>
      <c r="VJP11" s="26"/>
      <c r="VJQ11" s="26"/>
      <c r="VJR11" s="27"/>
      <c r="VJS11" s="28"/>
      <c r="VJT11" s="26"/>
      <c r="VJU11" s="26"/>
      <c r="VJW11" s="25"/>
      <c r="VJX11" s="26"/>
      <c r="VJY11" s="26"/>
      <c r="VJZ11" s="27"/>
      <c r="VKA11" s="28"/>
      <c r="VKB11" s="26"/>
      <c r="VKC11" s="26"/>
      <c r="VKE11" s="25"/>
      <c r="VKF11" s="26"/>
      <c r="VKG11" s="26"/>
      <c r="VKH11" s="27"/>
      <c r="VKI11" s="28"/>
      <c r="VKJ11" s="26"/>
      <c r="VKK11" s="26"/>
      <c r="VKM11" s="25"/>
      <c r="VKN11" s="26"/>
      <c r="VKO11" s="26"/>
      <c r="VKP11" s="27"/>
      <c r="VKQ11" s="28"/>
      <c r="VKR11" s="26"/>
      <c r="VKS11" s="26"/>
      <c r="VKU11" s="25"/>
      <c r="VKV11" s="26"/>
      <c r="VKW11" s="26"/>
      <c r="VKX11" s="27"/>
      <c r="VKY11" s="28"/>
      <c r="VKZ11" s="26"/>
      <c r="VLA11" s="26"/>
      <c r="VLC11" s="25"/>
      <c r="VLD11" s="26"/>
      <c r="VLE11" s="26"/>
      <c r="VLF11" s="27"/>
      <c r="VLG11" s="28"/>
      <c r="VLH11" s="26"/>
      <c r="VLI11" s="26"/>
      <c r="VLK11" s="25"/>
      <c r="VLL11" s="26"/>
      <c r="VLM11" s="26"/>
      <c r="VLN11" s="27"/>
      <c r="VLO11" s="28"/>
      <c r="VLP11" s="26"/>
      <c r="VLQ11" s="26"/>
      <c r="VLS11" s="25"/>
      <c r="VLT11" s="26"/>
      <c r="VLU11" s="26"/>
      <c r="VLV11" s="27"/>
      <c r="VLW11" s="28"/>
      <c r="VLX11" s="26"/>
      <c r="VLY11" s="26"/>
      <c r="VMA11" s="25"/>
      <c r="VMB11" s="26"/>
      <c r="VMC11" s="26"/>
      <c r="VMD11" s="27"/>
      <c r="VME11" s="28"/>
      <c r="VMF11" s="26"/>
      <c r="VMG11" s="26"/>
      <c r="VMI11" s="25"/>
      <c r="VMJ11" s="26"/>
      <c r="VMK11" s="26"/>
      <c r="VML11" s="27"/>
      <c r="VMM11" s="28"/>
      <c r="VMN11" s="26"/>
      <c r="VMO11" s="26"/>
      <c r="VMQ11" s="25"/>
      <c r="VMR11" s="26"/>
      <c r="VMS11" s="26"/>
      <c r="VMT11" s="27"/>
      <c r="VMU11" s="28"/>
      <c r="VMV11" s="26"/>
      <c r="VMW11" s="26"/>
      <c r="VMY11" s="25"/>
      <c r="VMZ11" s="26"/>
      <c r="VNA11" s="26"/>
      <c r="VNB11" s="27"/>
      <c r="VNC11" s="28"/>
      <c r="VND11" s="26"/>
      <c r="VNE11" s="26"/>
      <c r="VNG11" s="25"/>
      <c r="VNH11" s="26"/>
      <c r="VNI11" s="26"/>
      <c r="VNJ11" s="27"/>
      <c r="VNK11" s="28"/>
      <c r="VNL11" s="26"/>
      <c r="VNM11" s="26"/>
      <c r="VNO11" s="25"/>
      <c r="VNP11" s="26"/>
      <c r="VNQ11" s="26"/>
      <c r="VNR11" s="27"/>
      <c r="VNS11" s="28"/>
      <c r="VNT11" s="26"/>
      <c r="VNU11" s="26"/>
      <c r="VNW11" s="25"/>
      <c r="VNX11" s="26"/>
      <c r="VNY11" s="26"/>
      <c r="VNZ11" s="27"/>
      <c r="VOA11" s="28"/>
      <c r="VOB11" s="26"/>
      <c r="VOC11" s="26"/>
      <c r="VOE11" s="25"/>
      <c r="VOF11" s="26"/>
      <c r="VOG11" s="26"/>
      <c r="VOH11" s="27"/>
      <c r="VOI11" s="28"/>
      <c r="VOJ11" s="26"/>
      <c r="VOK11" s="26"/>
      <c r="VOM11" s="25"/>
      <c r="VON11" s="26"/>
      <c r="VOO11" s="26"/>
      <c r="VOP11" s="27"/>
      <c r="VOQ11" s="28"/>
      <c r="VOR11" s="26"/>
      <c r="VOS11" s="26"/>
      <c r="VOU11" s="25"/>
      <c r="VOV11" s="26"/>
      <c r="VOW11" s="26"/>
      <c r="VOX11" s="27"/>
      <c r="VOY11" s="28"/>
      <c r="VOZ11" s="26"/>
      <c r="VPA11" s="26"/>
      <c r="VPC11" s="25"/>
      <c r="VPD11" s="26"/>
      <c r="VPE11" s="26"/>
      <c r="VPF11" s="27"/>
      <c r="VPG11" s="28"/>
      <c r="VPH11" s="26"/>
      <c r="VPI11" s="26"/>
      <c r="VPK11" s="25"/>
      <c r="VPL11" s="26"/>
      <c r="VPM11" s="26"/>
      <c r="VPN11" s="27"/>
      <c r="VPO11" s="28"/>
      <c r="VPP11" s="26"/>
      <c r="VPQ11" s="26"/>
      <c r="VPS11" s="25"/>
      <c r="VPT11" s="26"/>
      <c r="VPU11" s="26"/>
      <c r="VPV11" s="27"/>
      <c r="VPW11" s="28"/>
      <c r="VPX11" s="26"/>
      <c r="VPY11" s="26"/>
      <c r="VQA11" s="25"/>
      <c r="VQB11" s="26"/>
      <c r="VQC11" s="26"/>
      <c r="VQD11" s="27"/>
      <c r="VQE11" s="28"/>
      <c r="VQF11" s="26"/>
      <c r="VQG11" s="26"/>
      <c r="VQI11" s="25"/>
      <c r="VQJ11" s="26"/>
      <c r="VQK11" s="26"/>
      <c r="VQL11" s="27"/>
      <c r="VQM11" s="28"/>
      <c r="VQN11" s="26"/>
      <c r="VQO11" s="26"/>
      <c r="VQQ11" s="25"/>
      <c r="VQR11" s="26"/>
      <c r="VQS11" s="26"/>
      <c r="VQT11" s="27"/>
      <c r="VQU11" s="28"/>
      <c r="VQV11" s="26"/>
      <c r="VQW11" s="26"/>
      <c r="VQY11" s="25"/>
      <c r="VQZ11" s="26"/>
      <c r="VRA11" s="26"/>
      <c r="VRB11" s="27"/>
      <c r="VRC11" s="28"/>
      <c r="VRD11" s="26"/>
      <c r="VRE11" s="26"/>
      <c r="VRG11" s="25"/>
      <c r="VRH11" s="26"/>
      <c r="VRI11" s="26"/>
      <c r="VRJ11" s="27"/>
      <c r="VRK11" s="28"/>
      <c r="VRL11" s="26"/>
      <c r="VRM11" s="26"/>
      <c r="VRO11" s="25"/>
      <c r="VRP11" s="26"/>
      <c r="VRQ11" s="26"/>
      <c r="VRR11" s="27"/>
      <c r="VRS11" s="28"/>
      <c r="VRT11" s="26"/>
      <c r="VRU11" s="26"/>
      <c r="VRW11" s="25"/>
      <c r="VRX11" s="26"/>
      <c r="VRY11" s="26"/>
      <c r="VRZ11" s="27"/>
      <c r="VSA11" s="28"/>
      <c r="VSB11" s="26"/>
      <c r="VSC11" s="26"/>
      <c r="VSE11" s="25"/>
      <c r="VSF11" s="26"/>
      <c r="VSG11" s="26"/>
      <c r="VSH11" s="27"/>
      <c r="VSI11" s="28"/>
      <c r="VSJ11" s="26"/>
      <c r="VSK11" s="26"/>
      <c r="VSM11" s="25"/>
      <c r="VSN11" s="26"/>
      <c r="VSO11" s="26"/>
      <c r="VSP11" s="27"/>
      <c r="VSQ11" s="28"/>
      <c r="VSR11" s="26"/>
      <c r="VSS11" s="26"/>
      <c r="VSU11" s="25"/>
      <c r="VSV11" s="26"/>
      <c r="VSW11" s="26"/>
      <c r="VSX11" s="27"/>
      <c r="VSY11" s="28"/>
      <c r="VSZ11" s="26"/>
      <c r="VTA11" s="26"/>
      <c r="VTC11" s="25"/>
      <c r="VTD11" s="26"/>
      <c r="VTE11" s="26"/>
      <c r="VTF11" s="27"/>
      <c r="VTG11" s="28"/>
      <c r="VTH11" s="26"/>
      <c r="VTI11" s="26"/>
      <c r="VTK11" s="25"/>
      <c r="VTL11" s="26"/>
      <c r="VTM11" s="26"/>
      <c r="VTN11" s="27"/>
      <c r="VTO11" s="28"/>
      <c r="VTP11" s="26"/>
      <c r="VTQ11" s="26"/>
      <c r="VTS11" s="25"/>
      <c r="VTT11" s="26"/>
      <c r="VTU11" s="26"/>
      <c r="VTV11" s="27"/>
      <c r="VTW11" s="28"/>
      <c r="VTX11" s="26"/>
      <c r="VTY11" s="26"/>
      <c r="VUA11" s="25"/>
      <c r="VUB11" s="26"/>
      <c r="VUC11" s="26"/>
      <c r="VUD11" s="27"/>
      <c r="VUE11" s="28"/>
      <c r="VUF11" s="26"/>
      <c r="VUG11" s="26"/>
      <c r="VUI11" s="25"/>
      <c r="VUJ11" s="26"/>
      <c r="VUK11" s="26"/>
      <c r="VUL11" s="27"/>
      <c r="VUM11" s="28"/>
      <c r="VUN11" s="26"/>
      <c r="VUO11" s="26"/>
      <c r="VUQ11" s="25"/>
      <c r="VUR11" s="26"/>
      <c r="VUS11" s="26"/>
      <c r="VUT11" s="27"/>
      <c r="VUU11" s="28"/>
      <c r="VUV11" s="26"/>
      <c r="VUW11" s="26"/>
      <c r="VUY11" s="25"/>
      <c r="VUZ11" s="26"/>
      <c r="VVA11" s="26"/>
      <c r="VVB11" s="27"/>
      <c r="VVC11" s="28"/>
      <c r="VVD11" s="26"/>
      <c r="VVE11" s="26"/>
      <c r="VVG11" s="25"/>
      <c r="VVH11" s="26"/>
      <c r="VVI11" s="26"/>
      <c r="VVJ11" s="27"/>
      <c r="VVK11" s="28"/>
      <c r="VVL11" s="26"/>
      <c r="VVM11" s="26"/>
      <c r="VVO11" s="25"/>
      <c r="VVP11" s="26"/>
      <c r="VVQ11" s="26"/>
      <c r="VVR11" s="27"/>
      <c r="VVS11" s="28"/>
      <c r="VVT11" s="26"/>
      <c r="VVU11" s="26"/>
      <c r="VVW11" s="25"/>
      <c r="VVX11" s="26"/>
      <c r="VVY11" s="26"/>
      <c r="VVZ11" s="27"/>
      <c r="VWA11" s="28"/>
      <c r="VWB11" s="26"/>
      <c r="VWC11" s="26"/>
      <c r="VWE11" s="25"/>
      <c r="VWF11" s="26"/>
      <c r="VWG11" s="26"/>
      <c r="VWH11" s="27"/>
      <c r="VWI11" s="28"/>
      <c r="VWJ11" s="26"/>
      <c r="VWK11" s="26"/>
      <c r="VWM11" s="25"/>
      <c r="VWN11" s="26"/>
      <c r="VWO11" s="26"/>
      <c r="VWP11" s="27"/>
      <c r="VWQ11" s="28"/>
      <c r="VWR11" s="26"/>
      <c r="VWS11" s="26"/>
      <c r="VWU11" s="25"/>
      <c r="VWV11" s="26"/>
      <c r="VWW11" s="26"/>
      <c r="VWX11" s="27"/>
      <c r="VWY11" s="28"/>
      <c r="VWZ11" s="26"/>
      <c r="VXA11" s="26"/>
      <c r="VXC11" s="25"/>
      <c r="VXD11" s="26"/>
      <c r="VXE11" s="26"/>
      <c r="VXF11" s="27"/>
      <c r="VXG11" s="28"/>
      <c r="VXH11" s="26"/>
      <c r="VXI11" s="26"/>
      <c r="VXK11" s="25"/>
      <c r="VXL11" s="26"/>
      <c r="VXM11" s="26"/>
      <c r="VXN11" s="27"/>
      <c r="VXO11" s="28"/>
      <c r="VXP11" s="26"/>
      <c r="VXQ11" s="26"/>
      <c r="VXS11" s="25"/>
      <c r="VXT11" s="26"/>
      <c r="VXU11" s="26"/>
      <c r="VXV11" s="27"/>
      <c r="VXW11" s="28"/>
      <c r="VXX11" s="26"/>
      <c r="VXY11" s="26"/>
      <c r="VYA11" s="25"/>
      <c r="VYB11" s="26"/>
      <c r="VYC11" s="26"/>
      <c r="VYD11" s="27"/>
      <c r="VYE11" s="28"/>
      <c r="VYF11" s="26"/>
      <c r="VYG11" s="26"/>
      <c r="VYI11" s="25"/>
      <c r="VYJ11" s="26"/>
      <c r="VYK11" s="26"/>
      <c r="VYL11" s="27"/>
      <c r="VYM11" s="28"/>
      <c r="VYN11" s="26"/>
      <c r="VYO11" s="26"/>
      <c r="VYQ11" s="25"/>
      <c r="VYR11" s="26"/>
      <c r="VYS11" s="26"/>
      <c r="VYT11" s="27"/>
      <c r="VYU11" s="28"/>
      <c r="VYV11" s="26"/>
      <c r="VYW11" s="26"/>
      <c r="VYY11" s="25"/>
      <c r="VYZ11" s="26"/>
      <c r="VZA11" s="26"/>
      <c r="VZB11" s="27"/>
      <c r="VZC11" s="28"/>
      <c r="VZD11" s="26"/>
      <c r="VZE11" s="26"/>
      <c r="VZG11" s="25"/>
      <c r="VZH11" s="26"/>
      <c r="VZI11" s="26"/>
      <c r="VZJ11" s="27"/>
      <c r="VZK11" s="28"/>
      <c r="VZL11" s="26"/>
      <c r="VZM11" s="26"/>
      <c r="VZO11" s="25"/>
      <c r="VZP11" s="26"/>
      <c r="VZQ11" s="26"/>
      <c r="VZR11" s="27"/>
      <c r="VZS11" s="28"/>
      <c r="VZT11" s="26"/>
      <c r="VZU11" s="26"/>
      <c r="VZW11" s="25"/>
      <c r="VZX11" s="26"/>
      <c r="VZY11" s="26"/>
      <c r="VZZ11" s="27"/>
      <c r="WAA11" s="28"/>
      <c r="WAB11" s="26"/>
      <c r="WAC11" s="26"/>
      <c r="WAE11" s="25"/>
      <c r="WAF11" s="26"/>
      <c r="WAG11" s="26"/>
      <c r="WAH11" s="27"/>
      <c r="WAI11" s="28"/>
      <c r="WAJ11" s="26"/>
      <c r="WAK11" s="26"/>
      <c r="WAM11" s="25"/>
      <c r="WAN11" s="26"/>
      <c r="WAO11" s="26"/>
      <c r="WAP11" s="27"/>
      <c r="WAQ11" s="28"/>
      <c r="WAR11" s="26"/>
      <c r="WAS11" s="26"/>
      <c r="WAU11" s="25"/>
      <c r="WAV11" s="26"/>
      <c r="WAW11" s="26"/>
      <c r="WAX11" s="27"/>
      <c r="WAY11" s="28"/>
      <c r="WAZ11" s="26"/>
      <c r="WBA11" s="26"/>
      <c r="WBC11" s="25"/>
      <c r="WBD11" s="26"/>
      <c r="WBE11" s="26"/>
      <c r="WBF11" s="27"/>
      <c r="WBG11" s="28"/>
      <c r="WBH11" s="26"/>
      <c r="WBI11" s="26"/>
      <c r="WBK11" s="25"/>
      <c r="WBL11" s="26"/>
      <c r="WBM11" s="26"/>
      <c r="WBN11" s="27"/>
      <c r="WBO11" s="28"/>
      <c r="WBP11" s="26"/>
      <c r="WBQ11" s="26"/>
      <c r="WBS11" s="25"/>
      <c r="WBT11" s="26"/>
      <c r="WBU11" s="26"/>
      <c r="WBV11" s="27"/>
      <c r="WBW11" s="28"/>
      <c r="WBX11" s="26"/>
      <c r="WBY11" s="26"/>
      <c r="WCA11" s="25"/>
      <c r="WCB11" s="26"/>
      <c r="WCC11" s="26"/>
      <c r="WCD11" s="27"/>
      <c r="WCE11" s="28"/>
      <c r="WCF11" s="26"/>
      <c r="WCG11" s="26"/>
      <c r="WCI11" s="25"/>
      <c r="WCJ11" s="26"/>
      <c r="WCK11" s="26"/>
      <c r="WCL11" s="27"/>
      <c r="WCM11" s="28"/>
      <c r="WCN11" s="26"/>
      <c r="WCO11" s="26"/>
      <c r="WCQ11" s="25"/>
      <c r="WCR11" s="26"/>
      <c r="WCS11" s="26"/>
      <c r="WCT11" s="27"/>
      <c r="WCU11" s="28"/>
      <c r="WCV11" s="26"/>
      <c r="WCW11" s="26"/>
      <c r="WCY11" s="25"/>
      <c r="WCZ11" s="26"/>
      <c r="WDA11" s="26"/>
      <c r="WDB11" s="27"/>
      <c r="WDC11" s="28"/>
      <c r="WDD11" s="26"/>
      <c r="WDE11" s="26"/>
      <c r="WDG11" s="25"/>
      <c r="WDH11" s="26"/>
      <c r="WDI11" s="26"/>
      <c r="WDJ11" s="27"/>
      <c r="WDK11" s="28"/>
      <c r="WDL11" s="26"/>
      <c r="WDM11" s="26"/>
      <c r="WDO11" s="25"/>
      <c r="WDP11" s="26"/>
      <c r="WDQ11" s="26"/>
      <c r="WDR11" s="27"/>
      <c r="WDS11" s="28"/>
      <c r="WDT11" s="26"/>
      <c r="WDU11" s="26"/>
      <c r="WDW11" s="25"/>
      <c r="WDX11" s="26"/>
      <c r="WDY11" s="26"/>
      <c r="WDZ11" s="27"/>
      <c r="WEA11" s="28"/>
      <c r="WEB11" s="26"/>
      <c r="WEC11" s="26"/>
      <c r="WEE11" s="25"/>
      <c r="WEF11" s="26"/>
      <c r="WEG11" s="26"/>
      <c r="WEH11" s="27"/>
      <c r="WEI11" s="28"/>
      <c r="WEJ11" s="26"/>
      <c r="WEK11" s="26"/>
      <c r="WEM11" s="25"/>
      <c r="WEN11" s="26"/>
      <c r="WEO11" s="26"/>
      <c r="WEP11" s="27"/>
      <c r="WEQ11" s="28"/>
      <c r="WER11" s="26"/>
      <c r="WES11" s="26"/>
      <c r="WEU11" s="25"/>
      <c r="WEV11" s="26"/>
      <c r="WEW11" s="26"/>
      <c r="WEX11" s="27"/>
      <c r="WEY11" s="28"/>
      <c r="WEZ11" s="26"/>
      <c r="WFA11" s="26"/>
      <c r="WFC11" s="25"/>
      <c r="WFD11" s="26"/>
      <c r="WFE11" s="26"/>
      <c r="WFF11" s="27"/>
      <c r="WFG11" s="28"/>
      <c r="WFH11" s="26"/>
      <c r="WFI11" s="26"/>
      <c r="WFK11" s="25"/>
      <c r="WFL11" s="26"/>
      <c r="WFM11" s="26"/>
      <c r="WFN11" s="27"/>
      <c r="WFO11" s="28"/>
      <c r="WFP11" s="26"/>
      <c r="WFQ11" s="26"/>
      <c r="WFS11" s="25"/>
      <c r="WFT11" s="26"/>
      <c r="WFU11" s="26"/>
      <c r="WFV11" s="27"/>
      <c r="WFW11" s="28"/>
      <c r="WFX11" s="26"/>
      <c r="WFY11" s="26"/>
      <c r="WGA11" s="25"/>
      <c r="WGB11" s="26"/>
      <c r="WGC11" s="26"/>
      <c r="WGD11" s="27"/>
      <c r="WGE11" s="28"/>
      <c r="WGF11" s="26"/>
      <c r="WGG11" s="26"/>
      <c r="WGI11" s="25"/>
      <c r="WGJ11" s="26"/>
      <c r="WGK11" s="26"/>
      <c r="WGL11" s="27"/>
      <c r="WGM11" s="28"/>
      <c r="WGN11" s="26"/>
      <c r="WGO11" s="26"/>
      <c r="WGQ11" s="25"/>
      <c r="WGR11" s="26"/>
      <c r="WGS11" s="26"/>
      <c r="WGT11" s="27"/>
      <c r="WGU11" s="28"/>
      <c r="WGV11" s="26"/>
      <c r="WGW11" s="26"/>
      <c r="WGY11" s="25"/>
      <c r="WGZ11" s="26"/>
      <c r="WHA11" s="26"/>
      <c r="WHB11" s="27"/>
      <c r="WHC11" s="28"/>
      <c r="WHD11" s="26"/>
      <c r="WHE11" s="26"/>
      <c r="WHG11" s="25"/>
      <c r="WHH11" s="26"/>
      <c r="WHI11" s="26"/>
      <c r="WHJ11" s="27"/>
      <c r="WHK11" s="28"/>
      <c r="WHL11" s="26"/>
      <c r="WHM11" s="26"/>
      <c r="WHO11" s="25"/>
      <c r="WHP11" s="26"/>
      <c r="WHQ11" s="26"/>
      <c r="WHR11" s="27"/>
      <c r="WHS11" s="28"/>
      <c r="WHT11" s="26"/>
      <c r="WHU11" s="26"/>
      <c r="WHW11" s="25"/>
      <c r="WHX11" s="26"/>
      <c r="WHY11" s="26"/>
      <c r="WHZ11" s="27"/>
      <c r="WIA11" s="28"/>
      <c r="WIB11" s="26"/>
      <c r="WIC11" s="26"/>
      <c r="WIE11" s="25"/>
      <c r="WIF11" s="26"/>
      <c r="WIG11" s="26"/>
      <c r="WIH11" s="27"/>
      <c r="WII11" s="28"/>
      <c r="WIJ11" s="26"/>
      <c r="WIK11" s="26"/>
      <c r="WIM11" s="25"/>
      <c r="WIN11" s="26"/>
      <c r="WIO11" s="26"/>
      <c r="WIP11" s="27"/>
      <c r="WIQ11" s="28"/>
      <c r="WIR11" s="26"/>
      <c r="WIS11" s="26"/>
      <c r="WIU11" s="25"/>
      <c r="WIV11" s="26"/>
      <c r="WIW11" s="26"/>
      <c r="WIX11" s="27"/>
      <c r="WIY11" s="28"/>
      <c r="WIZ11" s="26"/>
      <c r="WJA11" s="26"/>
      <c r="WJC11" s="25"/>
      <c r="WJD11" s="26"/>
      <c r="WJE11" s="26"/>
      <c r="WJF11" s="27"/>
      <c r="WJG11" s="28"/>
      <c r="WJH11" s="26"/>
      <c r="WJI11" s="26"/>
      <c r="WJK11" s="25"/>
      <c r="WJL11" s="26"/>
      <c r="WJM11" s="26"/>
      <c r="WJN11" s="27"/>
      <c r="WJO11" s="28"/>
      <c r="WJP11" s="26"/>
      <c r="WJQ11" s="26"/>
      <c r="WJS11" s="25"/>
      <c r="WJT11" s="26"/>
      <c r="WJU11" s="26"/>
      <c r="WJV11" s="27"/>
      <c r="WJW11" s="28"/>
      <c r="WJX11" s="26"/>
      <c r="WJY11" s="26"/>
      <c r="WKA11" s="25"/>
      <c r="WKB11" s="26"/>
      <c r="WKC11" s="26"/>
      <c r="WKD11" s="27"/>
      <c r="WKE11" s="28"/>
      <c r="WKF11" s="26"/>
      <c r="WKG11" s="26"/>
      <c r="WKI11" s="25"/>
      <c r="WKJ11" s="26"/>
      <c r="WKK11" s="26"/>
      <c r="WKL11" s="27"/>
      <c r="WKM11" s="28"/>
      <c r="WKN11" s="26"/>
      <c r="WKO11" s="26"/>
      <c r="WKQ11" s="25"/>
      <c r="WKR11" s="26"/>
      <c r="WKS11" s="26"/>
      <c r="WKT11" s="27"/>
      <c r="WKU11" s="28"/>
      <c r="WKV11" s="26"/>
      <c r="WKW11" s="26"/>
      <c r="WKY11" s="25"/>
      <c r="WKZ11" s="26"/>
      <c r="WLA11" s="26"/>
      <c r="WLB11" s="27"/>
      <c r="WLC11" s="28"/>
      <c r="WLD11" s="26"/>
      <c r="WLE11" s="26"/>
      <c r="WLG11" s="25"/>
      <c r="WLH11" s="26"/>
      <c r="WLI11" s="26"/>
      <c r="WLJ11" s="27"/>
      <c r="WLK11" s="28"/>
      <c r="WLL11" s="26"/>
      <c r="WLM11" s="26"/>
      <c r="WLO11" s="25"/>
      <c r="WLP11" s="26"/>
      <c r="WLQ11" s="26"/>
      <c r="WLR11" s="27"/>
      <c r="WLS11" s="28"/>
      <c r="WLT11" s="26"/>
      <c r="WLU11" s="26"/>
      <c r="WLW11" s="25"/>
      <c r="WLX11" s="26"/>
      <c r="WLY11" s="26"/>
      <c r="WLZ11" s="27"/>
      <c r="WMA11" s="28"/>
      <c r="WMB11" s="26"/>
      <c r="WMC11" s="26"/>
      <c r="WME11" s="25"/>
      <c r="WMF11" s="26"/>
      <c r="WMG11" s="26"/>
      <c r="WMH11" s="27"/>
      <c r="WMI11" s="28"/>
      <c r="WMJ11" s="26"/>
      <c r="WMK11" s="26"/>
      <c r="WMM11" s="25"/>
      <c r="WMN11" s="26"/>
      <c r="WMO11" s="26"/>
      <c r="WMP11" s="27"/>
      <c r="WMQ11" s="28"/>
      <c r="WMR11" s="26"/>
      <c r="WMS11" s="26"/>
      <c r="WMU11" s="25"/>
      <c r="WMV11" s="26"/>
      <c r="WMW11" s="26"/>
      <c r="WMX11" s="27"/>
      <c r="WMY11" s="28"/>
      <c r="WMZ11" s="26"/>
      <c r="WNA11" s="26"/>
      <c r="WNC11" s="25"/>
      <c r="WND11" s="26"/>
      <c r="WNE11" s="26"/>
      <c r="WNF11" s="27"/>
      <c r="WNG11" s="28"/>
      <c r="WNH11" s="26"/>
      <c r="WNI11" s="26"/>
      <c r="WNK11" s="25"/>
      <c r="WNL11" s="26"/>
      <c r="WNM11" s="26"/>
      <c r="WNN11" s="27"/>
      <c r="WNO11" s="28"/>
      <c r="WNP11" s="26"/>
      <c r="WNQ11" s="26"/>
      <c r="WNS11" s="25"/>
      <c r="WNT11" s="26"/>
      <c r="WNU11" s="26"/>
      <c r="WNV11" s="27"/>
      <c r="WNW11" s="28"/>
      <c r="WNX11" s="26"/>
      <c r="WNY11" s="26"/>
      <c r="WOA11" s="25"/>
      <c r="WOB11" s="26"/>
      <c r="WOC11" s="26"/>
      <c r="WOD11" s="27"/>
      <c r="WOE11" s="28"/>
      <c r="WOF11" s="26"/>
      <c r="WOG11" s="26"/>
      <c r="WOI11" s="25"/>
      <c r="WOJ11" s="26"/>
      <c r="WOK11" s="26"/>
      <c r="WOL11" s="27"/>
      <c r="WOM11" s="28"/>
      <c r="WON11" s="26"/>
      <c r="WOO11" s="26"/>
      <c r="WOQ11" s="25"/>
      <c r="WOR11" s="26"/>
      <c r="WOS11" s="26"/>
      <c r="WOT11" s="27"/>
      <c r="WOU11" s="28"/>
      <c r="WOV11" s="26"/>
      <c r="WOW11" s="26"/>
      <c r="WOY11" s="25"/>
      <c r="WOZ11" s="26"/>
      <c r="WPA11" s="26"/>
      <c r="WPB11" s="27"/>
      <c r="WPC11" s="28"/>
      <c r="WPD11" s="26"/>
      <c r="WPE11" s="26"/>
      <c r="WPG11" s="25"/>
      <c r="WPH11" s="26"/>
      <c r="WPI11" s="26"/>
      <c r="WPJ11" s="27"/>
      <c r="WPK11" s="28"/>
      <c r="WPL11" s="26"/>
      <c r="WPM11" s="26"/>
      <c r="WPO11" s="25"/>
      <c r="WPP11" s="26"/>
      <c r="WPQ11" s="26"/>
      <c r="WPR11" s="27"/>
      <c r="WPS11" s="28"/>
      <c r="WPT11" s="26"/>
      <c r="WPU11" s="26"/>
      <c r="WPW11" s="25"/>
      <c r="WPX11" s="26"/>
      <c r="WPY11" s="26"/>
      <c r="WPZ11" s="27"/>
      <c r="WQA11" s="28"/>
      <c r="WQB11" s="26"/>
      <c r="WQC11" s="26"/>
      <c r="WQE11" s="25"/>
      <c r="WQF11" s="26"/>
      <c r="WQG11" s="26"/>
      <c r="WQH11" s="27"/>
      <c r="WQI11" s="28"/>
      <c r="WQJ11" s="26"/>
      <c r="WQK11" s="26"/>
      <c r="WQM11" s="25"/>
      <c r="WQN11" s="26"/>
      <c r="WQO11" s="26"/>
      <c r="WQP11" s="27"/>
      <c r="WQQ11" s="28"/>
      <c r="WQR11" s="26"/>
      <c r="WQS11" s="26"/>
      <c r="WQU11" s="25"/>
      <c r="WQV11" s="26"/>
      <c r="WQW11" s="26"/>
      <c r="WQX11" s="27"/>
      <c r="WQY11" s="28"/>
      <c r="WQZ11" s="26"/>
      <c r="WRA11" s="26"/>
      <c r="WRC11" s="25"/>
      <c r="WRD11" s="26"/>
      <c r="WRE11" s="26"/>
      <c r="WRF11" s="27"/>
      <c r="WRG11" s="28"/>
      <c r="WRH11" s="26"/>
      <c r="WRI11" s="26"/>
      <c r="WRK11" s="25"/>
      <c r="WRL11" s="26"/>
      <c r="WRM11" s="26"/>
      <c r="WRN11" s="27"/>
      <c r="WRO11" s="28"/>
      <c r="WRP11" s="26"/>
      <c r="WRQ11" s="26"/>
      <c r="WRS11" s="25"/>
      <c r="WRT11" s="26"/>
      <c r="WRU11" s="26"/>
      <c r="WRV11" s="27"/>
      <c r="WRW11" s="28"/>
      <c r="WRX11" s="26"/>
      <c r="WRY11" s="26"/>
      <c r="WSA11" s="25"/>
      <c r="WSB11" s="26"/>
      <c r="WSC11" s="26"/>
      <c r="WSD11" s="27"/>
      <c r="WSE11" s="28"/>
      <c r="WSF11" s="26"/>
      <c r="WSG11" s="26"/>
      <c r="WSI11" s="25"/>
      <c r="WSJ11" s="26"/>
      <c r="WSK11" s="26"/>
      <c r="WSL11" s="27"/>
      <c r="WSM11" s="28"/>
      <c r="WSN11" s="26"/>
      <c r="WSO11" s="26"/>
      <c r="WSQ11" s="25"/>
      <c r="WSR11" s="26"/>
      <c r="WSS11" s="26"/>
      <c r="WST11" s="27"/>
      <c r="WSU11" s="28"/>
      <c r="WSV11" s="26"/>
      <c r="WSW11" s="26"/>
      <c r="WSY11" s="25"/>
      <c r="WSZ11" s="26"/>
      <c r="WTA11" s="26"/>
      <c r="WTB11" s="27"/>
      <c r="WTC11" s="28"/>
      <c r="WTD11" s="26"/>
      <c r="WTE11" s="26"/>
      <c r="WTG11" s="25"/>
      <c r="WTH11" s="26"/>
      <c r="WTI11" s="26"/>
      <c r="WTJ11" s="27"/>
      <c r="WTK11" s="28"/>
      <c r="WTL11" s="26"/>
      <c r="WTM11" s="26"/>
      <c r="WTO11" s="25"/>
      <c r="WTP11" s="26"/>
      <c r="WTQ11" s="26"/>
      <c r="WTR11" s="27"/>
      <c r="WTS11" s="28"/>
      <c r="WTT11" s="26"/>
      <c r="WTU11" s="26"/>
      <c r="WTW11" s="25"/>
      <c r="WTX11" s="26"/>
      <c r="WTY11" s="26"/>
      <c r="WTZ11" s="27"/>
      <c r="WUA11" s="28"/>
      <c r="WUB11" s="26"/>
      <c r="WUC11" s="26"/>
      <c r="WUE11" s="25"/>
      <c r="WUF11" s="26"/>
      <c r="WUG11" s="26"/>
      <c r="WUH11" s="27"/>
      <c r="WUI11" s="28"/>
      <c r="WUJ11" s="26"/>
      <c r="WUK11" s="26"/>
      <c r="WUM11" s="25"/>
      <c r="WUN11" s="26"/>
      <c r="WUO11" s="26"/>
      <c r="WUP11" s="27"/>
      <c r="WUQ11" s="28"/>
      <c r="WUR11" s="26"/>
      <c r="WUS11" s="26"/>
      <c r="WUU11" s="25"/>
      <c r="WUV11" s="26"/>
      <c r="WUW11" s="26"/>
      <c r="WUX11" s="27"/>
      <c r="WUY11" s="28"/>
      <c r="WUZ11" s="26"/>
      <c r="WVA11" s="26"/>
      <c r="WVC11" s="25"/>
      <c r="WVD11" s="26"/>
      <c r="WVE11" s="26"/>
      <c r="WVF11" s="27"/>
      <c r="WVG11" s="28"/>
      <c r="WVH11" s="26"/>
      <c r="WVI11" s="26"/>
      <c r="WVK11" s="25"/>
      <c r="WVL11" s="26"/>
      <c r="WVM11" s="26"/>
      <c r="WVN11" s="27"/>
      <c r="WVO11" s="28"/>
      <c r="WVP11" s="26"/>
      <c r="WVQ11" s="26"/>
      <c r="WVS11" s="25"/>
      <c r="WVT11" s="26"/>
      <c r="WVU11" s="26"/>
      <c r="WVV11" s="27"/>
      <c r="WVW11" s="28"/>
      <c r="WVX11" s="26"/>
      <c r="WVY11" s="26"/>
      <c r="WWA11" s="25"/>
      <c r="WWB11" s="26"/>
      <c r="WWC11" s="26"/>
      <c r="WWD11" s="27"/>
      <c r="WWE11" s="28"/>
      <c r="WWF11" s="26"/>
      <c r="WWG11" s="26"/>
      <c r="WWI11" s="25"/>
      <c r="WWJ11" s="26"/>
      <c r="WWK11" s="26"/>
      <c r="WWL11" s="27"/>
      <c r="WWM11" s="28"/>
      <c r="WWN11" s="26"/>
      <c r="WWO11" s="26"/>
      <c r="WWQ11" s="25"/>
      <c r="WWR11" s="26"/>
      <c r="WWS11" s="26"/>
      <c r="WWT11" s="27"/>
      <c r="WWU11" s="28"/>
      <c r="WWV11" s="26"/>
      <c r="WWW11" s="26"/>
      <c r="WWY11" s="25"/>
      <c r="WWZ11" s="26"/>
      <c r="WXA11" s="26"/>
      <c r="WXB11" s="27"/>
      <c r="WXC11" s="28"/>
      <c r="WXD11" s="26"/>
      <c r="WXE11" s="26"/>
      <c r="WXG11" s="25"/>
      <c r="WXH11" s="26"/>
      <c r="WXI11" s="26"/>
      <c r="WXJ11" s="27"/>
      <c r="WXK11" s="28"/>
      <c r="WXL11" s="26"/>
      <c r="WXM11" s="26"/>
      <c r="WXO11" s="25"/>
      <c r="WXP11" s="26"/>
      <c r="WXQ11" s="26"/>
      <c r="WXR11" s="27"/>
      <c r="WXS11" s="28"/>
      <c r="WXT11" s="26"/>
      <c r="WXU11" s="26"/>
      <c r="WXW11" s="25"/>
      <c r="WXX11" s="26"/>
      <c r="WXY11" s="26"/>
      <c r="WXZ11" s="27"/>
      <c r="WYA11" s="28"/>
      <c r="WYB11" s="26"/>
      <c r="WYC11" s="26"/>
      <c r="WYE11" s="25"/>
      <c r="WYF11" s="26"/>
      <c r="WYG11" s="26"/>
      <c r="WYH11" s="27"/>
      <c r="WYI11" s="28"/>
      <c r="WYJ11" s="26"/>
      <c r="WYK11" s="26"/>
      <c r="WYM11" s="25"/>
      <c r="WYN11" s="26"/>
      <c r="WYO11" s="26"/>
      <c r="WYP11" s="27"/>
      <c r="WYQ11" s="28"/>
      <c r="WYR11" s="26"/>
      <c r="WYS11" s="26"/>
      <c r="WYU11" s="25"/>
      <c r="WYV11" s="26"/>
      <c r="WYW11" s="26"/>
      <c r="WYX11" s="27"/>
      <c r="WYY11" s="28"/>
      <c r="WYZ11" s="26"/>
      <c r="WZA11" s="26"/>
      <c r="WZC11" s="25"/>
      <c r="WZD11" s="26"/>
      <c r="WZE11" s="26"/>
      <c r="WZF11" s="27"/>
      <c r="WZG11" s="28"/>
      <c r="WZH11" s="26"/>
      <c r="WZI11" s="26"/>
      <c r="WZK11" s="25"/>
      <c r="WZL11" s="26"/>
      <c r="WZM11" s="26"/>
      <c r="WZN11" s="27"/>
      <c r="WZO11" s="28"/>
      <c r="WZP11" s="26"/>
      <c r="WZQ11" s="26"/>
      <c r="WZS11" s="25"/>
      <c r="WZT11" s="26"/>
      <c r="WZU11" s="26"/>
      <c r="WZV11" s="27"/>
      <c r="WZW11" s="28"/>
      <c r="WZX11" s="26"/>
      <c r="WZY11" s="26"/>
      <c r="XAA11" s="25"/>
      <c r="XAB11" s="26"/>
      <c r="XAC11" s="26"/>
      <c r="XAD11" s="27"/>
      <c r="XAE11" s="28"/>
      <c r="XAF11" s="26"/>
      <c r="XAG11" s="26"/>
      <c r="XAI11" s="25"/>
      <c r="XAJ11" s="26"/>
      <c r="XAK11" s="26"/>
      <c r="XAL11" s="27"/>
      <c r="XAM11" s="28"/>
      <c r="XAN11" s="26"/>
      <c r="XAO11" s="26"/>
      <c r="XAQ11" s="25"/>
      <c r="XAR11" s="26"/>
      <c r="XAS11" s="26"/>
      <c r="XAT11" s="27"/>
      <c r="XAU11" s="28"/>
      <c r="XAV11" s="26"/>
      <c r="XAW11" s="26"/>
      <c r="XAY11" s="25"/>
      <c r="XAZ11" s="26"/>
      <c r="XBA11" s="26"/>
      <c r="XBB11" s="27"/>
      <c r="XBC11" s="28"/>
      <c r="XBD11" s="26"/>
      <c r="XBE11" s="26"/>
      <c r="XBG11" s="25"/>
      <c r="XBH11" s="26"/>
      <c r="XBI11" s="26"/>
      <c r="XBJ11" s="27"/>
      <c r="XBK11" s="28"/>
      <c r="XBL11" s="26"/>
      <c r="XBM11" s="26"/>
      <c r="XBO11" s="25"/>
      <c r="XBP11" s="26"/>
      <c r="XBQ11" s="26"/>
      <c r="XBR11" s="27"/>
      <c r="XBS11" s="28"/>
      <c r="XBT11" s="26"/>
      <c r="XBU11" s="26"/>
      <c r="XBW11" s="25"/>
      <c r="XBX11" s="26"/>
      <c r="XBY11" s="26"/>
      <c r="XBZ11" s="27"/>
      <c r="XCA11" s="28"/>
      <c r="XCB11" s="26"/>
      <c r="XCC11" s="26"/>
      <c r="XCE11" s="25"/>
      <c r="XCF11" s="26"/>
      <c r="XCG11" s="26"/>
      <c r="XCH11" s="27"/>
      <c r="XCI11" s="28"/>
      <c r="XCJ11" s="26"/>
      <c r="XCK11" s="26"/>
      <c r="XCM11" s="25"/>
      <c r="XCN11" s="26"/>
      <c r="XCO11" s="26"/>
      <c r="XCP11" s="27"/>
      <c r="XCQ11" s="28"/>
      <c r="XCR11" s="26"/>
      <c r="XCS11" s="26"/>
      <c r="XCU11" s="25"/>
      <c r="XCV11" s="26"/>
      <c r="XCW11" s="26"/>
      <c r="XCX11" s="27"/>
      <c r="XCY11" s="28"/>
      <c r="XCZ11" s="26"/>
      <c r="XDA11" s="26"/>
      <c r="XDC11" s="25"/>
      <c r="XDD11" s="26"/>
      <c r="XDE11" s="26"/>
      <c r="XDF11" s="27"/>
      <c r="XDG11" s="28"/>
      <c r="XDH11" s="26"/>
      <c r="XDI11" s="26"/>
      <c r="XDK11" s="25"/>
      <c r="XDL11" s="26"/>
      <c r="XDM11" s="26"/>
      <c r="XDN11" s="27"/>
      <c r="XDO11" s="28"/>
      <c r="XDP11" s="26"/>
      <c r="XDQ11" s="26"/>
      <c r="XDS11" s="25"/>
      <c r="XDT11" s="26"/>
      <c r="XDU11" s="26"/>
      <c r="XDV11" s="27"/>
      <c r="XDW11" s="28"/>
      <c r="XDX11" s="26"/>
      <c r="XDY11" s="26"/>
      <c r="XEA11" s="25"/>
      <c r="XEB11" s="26"/>
      <c r="XEC11" s="26"/>
      <c r="XED11" s="27"/>
      <c r="XEE11" s="28"/>
      <c r="XEF11" s="26"/>
      <c r="XEG11" s="26"/>
      <c r="XEI11" s="25"/>
      <c r="XEJ11" s="26"/>
      <c r="XEK11" s="26"/>
      <c r="XEL11" s="27"/>
      <c r="XEM11" s="28"/>
      <c r="XEN11" s="26"/>
      <c r="XEO11" s="26"/>
      <c r="XEQ11" s="25"/>
      <c r="XER11" s="26"/>
      <c r="XES11" s="26"/>
      <c r="XET11" s="27"/>
      <c r="XEU11" s="28"/>
      <c r="XEV11" s="26"/>
    </row>
    <row r="12" spans="1:16376">
      <c r="A12" s="19" t="s">
        <v>9</v>
      </c>
      <c r="B12" s="19" t="s">
        <v>10</v>
      </c>
      <c r="C12" s="20">
        <v>5</v>
      </c>
      <c r="D12" s="21" t="s">
        <v>34</v>
      </c>
      <c r="E12" s="21" t="s">
        <v>35</v>
      </c>
      <c r="F12" s="22">
        <f>WORKDAY(G6,1)</f>
        <v>46076</v>
      </c>
      <c r="G12" s="22">
        <f t="shared" si="0"/>
        <v>46087</v>
      </c>
      <c r="H12" s="21">
        <v>10</v>
      </c>
      <c r="I12" s="21">
        <v>3</v>
      </c>
      <c r="J12" s="21" t="s">
        <v>36</v>
      </c>
    </row>
    <row r="13" spans="1:16376">
      <c r="A13" s="29" t="s">
        <v>9</v>
      </c>
      <c r="B13" s="29" t="s">
        <v>10</v>
      </c>
      <c r="C13" s="30">
        <v>6</v>
      </c>
      <c r="D13" s="31" t="s">
        <v>37</v>
      </c>
      <c r="E13" s="31" t="s">
        <v>38</v>
      </c>
      <c r="F13" s="32">
        <f>WORKDAY(G12,1)</f>
        <v>46090</v>
      </c>
      <c r="G13" s="32">
        <f>WORKDAY(F13,H13-1,)</f>
        <v>46101</v>
      </c>
      <c r="H13" s="31">
        <v>10</v>
      </c>
      <c r="I13" s="128">
        <v>5</v>
      </c>
      <c r="J13" s="128" t="s">
        <v>39</v>
      </c>
    </row>
    <row r="14" spans="1:16376">
      <c r="A14" s="29" t="s">
        <v>9</v>
      </c>
      <c r="B14" s="29" t="s">
        <v>10</v>
      </c>
      <c r="C14" s="30">
        <v>6</v>
      </c>
      <c r="D14" s="31" t="s">
        <v>40</v>
      </c>
      <c r="E14" s="31" t="s">
        <v>41</v>
      </c>
      <c r="F14" s="32">
        <f>WORKDAY(G12,1)</f>
        <v>46090</v>
      </c>
      <c r="G14" s="32">
        <f t="shared" ref="G14:G17" si="2">WORKDAY(F14,H14-1,)</f>
        <v>46101</v>
      </c>
      <c r="H14" s="31">
        <v>10</v>
      </c>
      <c r="I14" s="128"/>
      <c r="J14" s="128"/>
    </row>
    <row r="15" spans="1:16376">
      <c r="A15" s="29" t="s">
        <v>9</v>
      </c>
      <c r="B15" s="29" t="s">
        <v>10</v>
      </c>
      <c r="C15" s="30">
        <v>6</v>
      </c>
      <c r="D15" s="31" t="s">
        <v>42</v>
      </c>
      <c r="E15" s="31" t="s">
        <v>43</v>
      </c>
      <c r="F15" s="32">
        <f>WORKDAY(G12,1)</f>
        <v>46090</v>
      </c>
      <c r="G15" s="32">
        <f t="shared" si="2"/>
        <v>46101</v>
      </c>
      <c r="H15" s="31">
        <v>10</v>
      </c>
      <c r="I15" s="128"/>
      <c r="J15" s="128"/>
    </row>
    <row r="16" spans="1:16376">
      <c r="A16" s="29" t="s">
        <v>9</v>
      </c>
      <c r="B16" s="29" t="s">
        <v>10</v>
      </c>
      <c r="C16" s="30">
        <v>6</v>
      </c>
      <c r="D16" s="31" t="s">
        <v>44</v>
      </c>
      <c r="E16" s="31" t="s">
        <v>43</v>
      </c>
      <c r="F16" s="32">
        <f>WORKDAY(G12,1)</f>
        <v>46090</v>
      </c>
      <c r="G16" s="32">
        <f t="shared" si="2"/>
        <v>46101</v>
      </c>
      <c r="H16" s="31">
        <v>10</v>
      </c>
      <c r="I16" s="128"/>
      <c r="J16" s="128"/>
    </row>
    <row r="17" spans="1:10">
      <c r="A17" s="29" t="s">
        <v>9</v>
      </c>
      <c r="B17" s="33" t="s">
        <v>10</v>
      </c>
      <c r="C17" s="34">
        <v>6</v>
      </c>
      <c r="D17" s="31" t="s">
        <v>45</v>
      </c>
      <c r="E17" s="31" t="s">
        <v>22</v>
      </c>
      <c r="F17" s="32">
        <f>WORKDAY(G12,1)</f>
        <v>46090</v>
      </c>
      <c r="G17" s="32">
        <f t="shared" si="2"/>
        <v>46101</v>
      </c>
      <c r="H17" s="31">
        <v>10</v>
      </c>
      <c r="I17" s="31">
        <v>5</v>
      </c>
      <c r="J17" s="4" t="s">
        <v>46</v>
      </c>
    </row>
    <row r="18" spans="1:10">
      <c r="A18" s="35" t="s">
        <v>9</v>
      </c>
      <c r="B18" s="36" t="s">
        <v>10</v>
      </c>
      <c r="C18" s="37">
        <v>7</v>
      </c>
      <c r="D18" s="26" t="s">
        <v>47</v>
      </c>
      <c r="E18" s="26" t="s">
        <v>48</v>
      </c>
      <c r="F18" s="27">
        <f>WORKDAY(G17,-4)</f>
        <v>46097</v>
      </c>
      <c r="G18" s="28">
        <f t="shared" si="0"/>
        <v>46108</v>
      </c>
      <c r="H18" s="26">
        <v>10</v>
      </c>
      <c r="I18" s="26">
        <v>11</v>
      </c>
      <c r="J18" s="38" t="s">
        <v>49</v>
      </c>
    </row>
    <row r="19" spans="1:10">
      <c r="A19" s="39" t="s">
        <v>9</v>
      </c>
      <c r="B19" s="40" t="s">
        <v>10</v>
      </c>
      <c r="C19" s="41">
        <v>7</v>
      </c>
      <c r="D19" s="42" t="s">
        <v>50</v>
      </c>
      <c r="E19" s="42" t="s">
        <v>51</v>
      </c>
      <c r="F19" s="43">
        <f>WORKDAY(G17,1)</f>
        <v>46104</v>
      </c>
      <c r="G19" s="44">
        <f t="shared" si="0"/>
        <v>46104</v>
      </c>
      <c r="H19" s="42">
        <v>1</v>
      </c>
      <c r="I19" s="42">
        <v>0</v>
      </c>
    </row>
    <row r="20" spans="1:10">
      <c r="A20" s="19" t="s">
        <v>9</v>
      </c>
      <c r="B20" s="45" t="s">
        <v>10</v>
      </c>
      <c r="C20" s="46">
        <v>8</v>
      </c>
      <c r="D20" s="47" t="s">
        <v>52</v>
      </c>
      <c r="E20" s="47" t="s">
        <v>53</v>
      </c>
      <c r="F20" s="48">
        <f>WORKDAY(G18,1)</f>
        <v>46111</v>
      </c>
      <c r="G20" s="22">
        <f t="shared" si="0"/>
        <v>46122</v>
      </c>
      <c r="H20" s="47">
        <v>10</v>
      </c>
      <c r="I20" s="47">
        <v>5</v>
      </c>
      <c r="J20" s="4" t="s">
        <v>54</v>
      </c>
    </row>
    <row r="21" spans="1:10">
      <c r="A21" s="19" t="s">
        <v>9</v>
      </c>
      <c r="B21" s="45" t="s">
        <v>10</v>
      </c>
      <c r="C21" s="46">
        <v>8</v>
      </c>
      <c r="D21" s="49" t="s">
        <v>55</v>
      </c>
      <c r="E21" s="47" t="s">
        <v>53</v>
      </c>
      <c r="F21" s="48">
        <f>WORKDAY(G18,1)</f>
        <v>46111</v>
      </c>
      <c r="G21" s="22">
        <f t="shared" si="0"/>
        <v>46122</v>
      </c>
      <c r="H21" s="47">
        <v>10</v>
      </c>
      <c r="I21" s="47">
        <v>0</v>
      </c>
    </row>
    <row r="22" spans="1:10">
      <c r="A22" s="50" t="s">
        <v>9</v>
      </c>
      <c r="B22" s="50" t="s">
        <v>10</v>
      </c>
      <c r="C22" s="51">
        <v>9</v>
      </c>
      <c r="D22" s="52" t="s">
        <v>56</v>
      </c>
      <c r="E22" s="52" t="s">
        <v>57</v>
      </c>
      <c r="F22" s="53">
        <f t="shared" ref="F22" si="3">WORKDAY(G21,1)</f>
        <v>46125</v>
      </c>
      <c r="G22" s="53">
        <f t="shared" si="0"/>
        <v>46136</v>
      </c>
      <c r="H22" s="52">
        <v>10</v>
      </c>
      <c r="I22" s="52">
        <v>7</v>
      </c>
      <c r="J22" s="52" t="s">
        <v>58</v>
      </c>
    </row>
    <row r="23" spans="1:10">
      <c r="A23" s="50" t="s">
        <v>9</v>
      </c>
      <c r="B23" s="50" t="s">
        <v>10</v>
      </c>
      <c r="C23" s="51">
        <v>9</v>
      </c>
      <c r="D23" s="52" t="s">
        <v>59</v>
      </c>
      <c r="E23" s="52" t="s">
        <v>60</v>
      </c>
      <c r="F23" s="53">
        <f>WORKDAY(G21,1)</f>
        <v>46125</v>
      </c>
      <c r="G23" s="53">
        <f t="shared" si="0"/>
        <v>46125</v>
      </c>
      <c r="H23" s="52">
        <v>1</v>
      </c>
      <c r="I23" s="52">
        <v>5</v>
      </c>
      <c r="J23" s="4" t="s">
        <v>61</v>
      </c>
    </row>
    <row r="24" spans="1:10">
      <c r="A24" s="54" t="s">
        <v>9</v>
      </c>
      <c r="B24" s="54" t="s">
        <v>10</v>
      </c>
      <c r="C24" s="55">
        <v>10</v>
      </c>
      <c r="D24" s="56" t="s">
        <v>62</v>
      </c>
      <c r="E24" s="56" t="s">
        <v>63</v>
      </c>
      <c r="F24" s="57">
        <f>WORKDAY(G22,-4)</f>
        <v>46132</v>
      </c>
      <c r="G24" s="57">
        <f t="shared" si="0"/>
        <v>46143</v>
      </c>
      <c r="H24" s="56">
        <v>10</v>
      </c>
      <c r="I24" s="56">
        <v>10</v>
      </c>
    </row>
    <row r="25" spans="1:10">
      <c r="A25" s="54" t="s">
        <v>9</v>
      </c>
      <c r="B25" s="54" t="s">
        <v>10</v>
      </c>
      <c r="C25" s="55">
        <v>10</v>
      </c>
      <c r="D25" s="56" t="s">
        <v>64</v>
      </c>
      <c r="E25" s="56" t="s">
        <v>60</v>
      </c>
      <c r="F25" s="57">
        <f>WORKDAY(F24,1)</f>
        <v>46133</v>
      </c>
      <c r="G25" s="57">
        <f t="shared" si="0"/>
        <v>46143</v>
      </c>
      <c r="H25" s="56">
        <v>9</v>
      </c>
      <c r="I25" s="56">
        <v>0</v>
      </c>
    </row>
    <row r="26" spans="1:10">
      <c r="A26" s="29" t="s">
        <v>9</v>
      </c>
      <c r="B26" s="33" t="s">
        <v>10</v>
      </c>
      <c r="C26" s="34">
        <v>11</v>
      </c>
      <c r="D26" s="58" t="s">
        <v>65</v>
      </c>
      <c r="E26" s="58" t="s">
        <v>66</v>
      </c>
      <c r="F26" s="59">
        <f>WORKDAY(G24,1)</f>
        <v>46146</v>
      </c>
      <c r="G26" s="32">
        <f t="shared" si="0"/>
        <v>46157</v>
      </c>
      <c r="H26" s="58">
        <v>10</v>
      </c>
      <c r="I26" s="58">
        <v>4</v>
      </c>
      <c r="J26" s="60" t="s">
        <v>67</v>
      </c>
    </row>
    <row r="27" spans="1:10">
      <c r="A27" s="61" t="s">
        <v>9</v>
      </c>
      <c r="B27" s="62" t="s">
        <v>10</v>
      </c>
      <c r="C27" s="63">
        <v>12</v>
      </c>
      <c r="D27" s="64" t="s">
        <v>68</v>
      </c>
      <c r="E27" s="64" t="s">
        <v>69</v>
      </c>
      <c r="F27" s="65">
        <f>WORKDAY(G26,1)</f>
        <v>46160</v>
      </c>
      <c r="G27" s="65">
        <f>WORKDAY(F27,H27-1,)</f>
        <v>46171</v>
      </c>
      <c r="H27" s="64">
        <v>10</v>
      </c>
      <c r="I27" s="130">
        <v>4</v>
      </c>
      <c r="J27" s="132" t="s">
        <v>70</v>
      </c>
    </row>
    <row r="28" spans="1:10">
      <c r="A28" s="61" t="s">
        <v>9</v>
      </c>
      <c r="B28" s="62" t="s">
        <v>10</v>
      </c>
      <c r="C28" s="63">
        <v>12</v>
      </c>
      <c r="D28" s="64" t="s">
        <v>71</v>
      </c>
      <c r="E28" s="64" t="s">
        <v>41</v>
      </c>
      <c r="F28" s="65">
        <f>WORKDAY(G26,1)</f>
        <v>46160</v>
      </c>
      <c r="G28" s="65">
        <f t="shared" ref="G28:G30" si="4">WORKDAY(F27,H27-1,)</f>
        <v>46171</v>
      </c>
      <c r="H28" s="64">
        <v>10</v>
      </c>
      <c r="I28" s="130"/>
      <c r="J28" s="132"/>
    </row>
    <row r="29" spans="1:10">
      <c r="A29" s="61" t="s">
        <v>9</v>
      </c>
      <c r="B29" s="62" t="s">
        <v>10</v>
      </c>
      <c r="C29" s="63">
        <v>12</v>
      </c>
      <c r="D29" s="64" t="s">
        <v>72</v>
      </c>
      <c r="E29" s="64" t="s">
        <v>41</v>
      </c>
      <c r="F29" s="65">
        <f>WORKDAY(G26,1)</f>
        <v>46160</v>
      </c>
      <c r="G29" s="65">
        <f t="shared" si="4"/>
        <v>46171</v>
      </c>
      <c r="H29" s="64">
        <v>10</v>
      </c>
      <c r="I29" s="130"/>
      <c r="J29" s="132"/>
    </row>
    <row r="30" spans="1:10">
      <c r="A30" s="61" t="s">
        <v>9</v>
      </c>
      <c r="B30" s="62" t="s">
        <v>10</v>
      </c>
      <c r="C30" s="63">
        <v>12</v>
      </c>
      <c r="D30" s="64" t="s">
        <v>73</v>
      </c>
      <c r="E30" s="64" t="s">
        <v>43</v>
      </c>
      <c r="F30" s="65">
        <f>WORKDAY(G26,1)</f>
        <v>46160</v>
      </c>
      <c r="G30" s="65">
        <f t="shared" si="4"/>
        <v>46171</v>
      </c>
      <c r="H30" s="64">
        <v>10</v>
      </c>
      <c r="I30" s="130"/>
      <c r="J30" s="132"/>
    </row>
    <row r="31" spans="1:10">
      <c r="A31" s="61" t="s">
        <v>9</v>
      </c>
      <c r="B31" s="62" t="s">
        <v>10</v>
      </c>
      <c r="C31" s="63">
        <v>12</v>
      </c>
      <c r="D31" s="64" t="s">
        <v>74</v>
      </c>
      <c r="E31" s="64" t="s">
        <v>75</v>
      </c>
      <c r="F31" s="65">
        <f>WORKDAY(G26,1)</f>
        <v>46160</v>
      </c>
      <c r="G31" s="66">
        <f>WORKDAY(F31,H31-1,)</f>
        <v>46171</v>
      </c>
      <c r="H31" s="64">
        <v>10</v>
      </c>
      <c r="I31" s="64">
        <v>6</v>
      </c>
      <c r="J31" s="67" t="s">
        <v>76</v>
      </c>
    </row>
    <row r="32" spans="1:10">
      <c r="A32" s="61" t="s">
        <v>9</v>
      </c>
      <c r="B32" s="62" t="s">
        <v>10</v>
      </c>
      <c r="C32" s="63">
        <v>12</v>
      </c>
      <c r="D32" s="64" t="s">
        <v>77</v>
      </c>
      <c r="E32" s="64" t="s">
        <v>78</v>
      </c>
      <c r="F32" s="65">
        <f>WORKDAY(G26,1)</f>
        <v>46160</v>
      </c>
      <c r="G32" s="66">
        <f t="shared" si="0"/>
        <v>46171</v>
      </c>
      <c r="H32" s="64">
        <v>10</v>
      </c>
      <c r="I32" s="64">
        <v>1</v>
      </c>
      <c r="J32" s="67" t="s">
        <v>79</v>
      </c>
    </row>
    <row r="33" spans="1:10">
      <c r="A33" s="61" t="s">
        <v>9</v>
      </c>
      <c r="B33" s="62" t="s">
        <v>10</v>
      </c>
      <c r="C33" s="63">
        <v>12</v>
      </c>
      <c r="D33" s="64" t="s">
        <v>80</v>
      </c>
      <c r="E33" s="64" t="s">
        <v>78</v>
      </c>
      <c r="F33" s="65">
        <f>WORKDAY(G26,1)</f>
        <v>46160</v>
      </c>
      <c r="G33" s="66">
        <f t="shared" si="0"/>
        <v>46171</v>
      </c>
      <c r="H33" s="64">
        <v>10</v>
      </c>
      <c r="I33" s="64">
        <v>0</v>
      </c>
      <c r="J33" s="67" t="s">
        <v>79</v>
      </c>
    </row>
    <row r="34" spans="1:10">
      <c r="A34" s="61" t="s">
        <v>9</v>
      </c>
      <c r="B34" s="62" t="s">
        <v>10</v>
      </c>
      <c r="C34" s="63">
        <v>12</v>
      </c>
      <c r="D34" s="64" t="s">
        <v>81</v>
      </c>
      <c r="E34" s="64" t="s">
        <v>60</v>
      </c>
      <c r="F34" s="65">
        <f>WORKDAY(G26,1)</f>
        <v>46160</v>
      </c>
      <c r="G34" s="66">
        <f t="shared" si="0"/>
        <v>46171</v>
      </c>
      <c r="H34" s="64">
        <v>10</v>
      </c>
      <c r="I34" s="64">
        <v>4</v>
      </c>
      <c r="J34" s="67"/>
    </row>
    <row r="35" spans="1:10">
      <c r="A35" s="68" t="s">
        <v>9</v>
      </c>
      <c r="B35" s="68" t="s">
        <v>10</v>
      </c>
      <c r="C35" s="69">
        <v>13</v>
      </c>
      <c r="D35" s="70" t="s">
        <v>82</v>
      </c>
      <c r="E35" s="70" t="s">
        <v>83</v>
      </c>
      <c r="F35" s="71">
        <f t="shared" ref="F35" si="5">WORKDAY(G34,1)</f>
        <v>46174</v>
      </c>
      <c r="G35" s="71">
        <f t="shared" si="0"/>
        <v>46185</v>
      </c>
      <c r="H35" s="70">
        <v>10</v>
      </c>
      <c r="I35" s="70">
        <v>4</v>
      </c>
      <c r="J35" s="72" t="s">
        <v>84</v>
      </c>
    </row>
    <row r="36" spans="1:10">
      <c r="A36" s="39" t="s">
        <v>9</v>
      </c>
      <c r="B36" s="73" t="s">
        <v>10</v>
      </c>
      <c r="C36" s="74">
        <v>14</v>
      </c>
      <c r="D36" s="75" t="s">
        <v>85</v>
      </c>
      <c r="E36" s="75" t="s">
        <v>51</v>
      </c>
      <c r="F36" s="76">
        <f>WORKDAY(G35,-1)</f>
        <v>46184</v>
      </c>
      <c r="G36" s="44">
        <f t="shared" si="0"/>
        <v>46188</v>
      </c>
      <c r="H36" s="75">
        <v>3</v>
      </c>
      <c r="I36" s="75">
        <v>12</v>
      </c>
    </row>
    <row r="37" spans="1:10">
      <c r="A37" s="77" t="s">
        <v>9</v>
      </c>
      <c r="B37" s="75" t="s">
        <v>10</v>
      </c>
      <c r="C37" s="74">
        <v>14</v>
      </c>
      <c r="D37" s="75" t="s">
        <v>86</v>
      </c>
      <c r="E37" s="75" t="s">
        <v>60</v>
      </c>
      <c r="F37" s="76">
        <f>WORKDAY(G35,1)</f>
        <v>46188</v>
      </c>
      <c r="G37" s="44">
        <f t="shared" si="0"/>
        <v>46199</v>
      </c>
      <c r="H37" s="75">
        <v>10</v>
      </c>
      <c r="I37" s="75">
        <v>0</v>
      </c>
    </row>
    <row r="38" spans="1:10">
      <c r="A38" s="78" t="s">
        <v>9</v>
      </c>
      <c r="B38" s="79" t="s">
        <v>10</v>
      </c>
      <c r="C38" s="80">
        <v>14</v>
      </c>
      <c r="D38" s="79" t="s">
        <v>87</v>
      </c>
      <c r="E38" s="79" t="s">
        <v>88</v>
      </c>
      <c r="F38" s="81">
        <f>WORKDAY(F36,4)</f>
        <v>46190</v>
      </c>
      <c r="G38" s="82">
        <f t="shared" si="0"/>
        <v>46203</v>
      </c>
      <c r="H38" s="79">
        <v>10</v>
      </c>
      <c r="I38" s="79">
        <v>4</v>
      </c>
    </row>
    <row r="39" spans="1:10">
      <c r="A39" s="83" t="s">
        <v>9</v>
      </c>
      <c r="B39" s="83" t="s">
        <v>10</v>
      </c>
      <c r="C39" s="84">
        <v>15</v>
      </c>
      <c r="D39" s="83" t="s">
        <v>89</v>
      </c>
      <c r="E39" s="83" t="s">
        <v>43</v>
      </c>
      <c r="F39" s="85">
        <f>WORKDAY(F38,3)</f>
        <v>46195</v>
      </c>
      <c r="G39" s="85">
        <f t="shared" si="0"/>
        <v>46206</v>
      </c>
      <c r="H39" s="83">
        <v>10</v>
      </c>
      <c r="I39" s="127">
        <v>1</v>
      </c>
      <c r="J39" s="131" t="s">
        <v>90</v>
      </c>
    </row>
    <row r="40" spans="1:10">
      <c r="A40" s="83" t="s">
        <v>9</v>
      </c>
      <c r="B40" s="83" t="s">
        <v>10</v>
      </c>
      <c r="C40" s="84">
        <v>15</v>
      </c>
      <c r="D40" s="83" t="s">
        <v>91</v>
      </c>
      <c r="E40" s="83" t="s">
        <v>43</v>
      </c>
      <c r="F40" s="85">
        <f>WORKDAY(F38,3)</f>
        <v>46195</v>
      </c>
      <c r="G40" s="85">
        <f t="shared" si="0"/>
        <v>46206</v>
      </c>
      <c r="H40" s="83">
        <v>10</v>
      </c>
      <c r="I40" s="127"/>
      <c r="J40" s="131"/>
    </row>
    <row r="41" spans="1:10">
      <c r="A41" s="83" t="s">
        <v>9</v>
      </c>
      <c r="B41" s="83" t="s">
        <v>10</v>
      </c>
      <c r="C41" s="84">
        <v>15</v>
      </c>
      <c r="D41" s="83" t="s">
        <v>92</v>
      </c>
      <c r="E41" s="83" t="s">
        <v>14</v>
      </c>
      <c r="F41" s="85">
        <f>WORKDAY(F38,3)</f>
        <v>46195</v>
      </c>
      <c r="G41" s="85">
        <f t="shared" si="0"/>
        <v>46206</v>
      </c>
      <c r="H41" s="83">
        <v>10</v>
      </c>
      <c r="I41" s="127"/>
      <c r="J41" s="131"/>
    </row>
    <row r="42" spans="1:10">
      <c r="A42" s="83" t="s">
        <v>9</v>
      </c>
      <c r="B42" s="83" t="s">
        <v>10</v>
      </c>
      <c r="C42" s="84">
        <v>15</v>
      </c>
      <c r="D42" s="83" t="s">
        <v>93</v>
      </c>
      <c r="E42" s="83" t="s">
        <v>43</v>
      </c>
      <c r="F42" s="85">
        <f>WORKDAY(F38,3)</f>
        <v>46195</v>
      </c>
      <c r="G42" s="85">
        <f t="shared" si="0"/>
        <v>46206</v>
      </c>
      <c r="H42" s="83">
        <v>10</v>
      </c>
      <c r="I42" s="127"/>
      <c r="J42" s="131"/>
    </row>
    <row r="43" spans="1:10">
      <c r="A43" s="83" t="s">
        <v>9</v>
      </c>
      <c r="B43" s="83" t="s">
        <v>10</v>
      </c>
      <c r="C43" s="84">
        <v>15</v>
      </c>
      <c r="D43" s="83" t="s">
        <v>94</v>
      </c>
      <c r="E43" s="83" t="s">
        <v>14</v>
      </c>
      <c r="F43" s="85">
        <f>WORKDAY(F38,3)</f>
        <v>46195</v>
      </c>
      <c r="G43" s="85">
        <f t="shared" si="0"/>
        <v>46206</v>
      </c>
      <c r="H43" s="83">
        <v>10</v>
      </c>
      <c r="I43" s="83">
        <v>1</v>
      </c>
    </row>
    <row r="44" spans="1:10">
      <c r="A44" s="86" t="s">
        <v>9</v>
      </c>
      <c r="B44" s="86" t="s">
        <v>10</v>
      </c>
      <c r="C44" s="87"/>
      <c r="D44" s="86" t="s">
        <v>95</v>
      </c>
      <c r="E44" s="86" t="s">
        <v>41</v>
      </c>
      <c r="F44" s="88">
        <f>WORKDAY(F43,3)</f>
        <v>46198</v>
      </c>
      <c r="G44" s="88">
        <f t="shared" si="0"/>
        <v>46206</v>
      </c>
      <c r="H44" s="86">
        <v>7</v>
      </c>
      <c r="I44" s="86">
        <v>0</v>
      </c>
    </row>
    <row r="45" spans="1:10">
      <c r="A45" s="89" t="s">
        <v>9</v>
      </c>
      <c r="B45" s="89" t="s">
        <v>10</v>
      </c>
      <c r="C45" s="90">
        <v>16</v>
      </c>
      <c r="D45" s="89" t="s">
        <v>96</v>
      </c>
      <c r="E45" s="89" t="s">
        <v>97</v>
      </c>
      <c r="F45" s="91">
        <f>WORKDAY(F44,2)</f>
        <v>46202</v>
      </c>
      <c r="G45" s="91">
        <f t="shared" si="0"/>
        <v>46213</v>
      </c>
      <c r="H45" s="89">
        <v>10</v>
      </c>
      <c r="I45" s="89">
        <v>2</v>
      </c>
    </row>
    <row r="46" spans="1:10">
      <c r="A46" s="89" t="s">
        <v>9</v>
      </c>
      <c r="B46" s="89" t="s">
        <v>10</v>
      </c>
      <c r="C46" s="90">
        <v>16</v>
      </c>
      <c r="D46" s="89" t="s">
        <v>98</v>
      </c>
      <c r="E46" s="89" t="s">
        <v>99</v>
      </c>
      <c r="F46" s="91">
        <f>WORKDAY(F44,2)</f>
        <v>46202</v>
      </c>
      <c r="G46" s="91">
        <f t="shared" si="0"/>
        <v>46213</v>
      </c>
      <c r="H46" s="89">
        <v>10</v>
      </c>
      <c r="I46" s="89">
        <v>9</v>
      </c>
      <c r="J46" s="4" t="s">
        <v>100</v>
      </c>
    </row>
    <row r="47" spans="1:10">
      <c r="A47" s="89" t="s">
        <v>9</v>
      </c>
      <c r="B47" s="89" t="s">
        <v>10</v>
      </c>
      <c r="C47" s="90">
        <v>16</v>
      </c>
      <c r="D47" s="89" t="s">
        <v>101</v>
      </c>
      <c r="E47" s="89" t="s">
        <v>102</v>
      </c>
      <c r="F47" s="91">
        <f>WORKDAY(F44,2)</f>
        <v>46202</v>
      </c>
      <c r="G47" s="91">
        <f t="shared" si="0"/>
        <v>46213</v>
      </c>
      <c r="H47" s="89">
        <v>10</v>
      </c>
      <c r="I47" s="89">
        <v>0</v>
      </c>
    </row>
    <row r="48" spans="1:10">
      <c r="A48" s="38" t="s">
        <v>9</v>
      </c>
      <c r="B48" s="38" t="s">
        <v>10</v>
      </c>
      <c r="C48" s="92">
        <v>17</v>
      </c>
      <c r="D48" s="38" t="s">
        <v>103</v>
      </c>
      <c r="E48" s="38" t="s">
        <v>104</v>
      </c>
      <c r="F48" s="93">
        <f>WORKDAY(G46,-4)</f>
        <v>46209</v>
      </c>
      <c r="G48" s="93">
        <f t="shared" si="0"/>
        <v>46211</v>
      </c>
      <c r="H48" s="38">
        <v>3</v>
      </c>
      <c r="I48" s="38">
        <v>0</v>
      </c>
      <c r="J48" s="38" t="s">
        <v>105</v>
      </c>
    </row>
    <row r="49" spans="1:10">
      <c r="A49" s="38" t="s">
        <v>9</v>
      </c>
      <c r="B49" s="38" t="s">
        <v>10</v>
      </c>
      <c r="C49" s="92">
        <v>17</v>
      </c>
      <c r="D49" s="38" t="s">
        <v>106</v>
      </c>
      <c r="E49" s="38" t="s">
        <v>22</v>
      </c>
      <c r="F49" s="93">
        <f>WORKDAY(G46,-4)</f>
        <v>46209</v>
      </c>
      <c r="G49" s="93">
        <f t="shared" si="0"/>
        <v>46220</v>
      </c>
      <c r="H49" s="38">
        <v>10</v>
      </c>
      <c r="I49" s="38">
        <v>10</v>
      </c>
      <c r="J49" s="38" t="s">
        <v>107</v>
      </c>
    </row>
    <row r="50" spans="1:10">
      <c r="A50" s="38" t="s">
        <v>9</v>
      </c>
      <c r="B50" s="38" t="s">
        <v>10</v>
      </c>
      <c r="C50" s="92">
        <v>17</v>
      </c>
      <c r="D50" s="38" t="s">
        <v>108</v>
      </c>
      <c r="E50" s="38" t="s">
        <v>97</v>
      </c>
      <c r="F50" s="93">
        <f>WORKDAY(G46,-4)</f>
        <v>46209</v>
      </c>
      <c r="G50" s="93">
        <f t="shared" si="0"/>
        <v>46220</v>
      </c>
      <c r="H50" s="38">
        <v>10</v>
      </c>
      <c r="I50" s="38">
        <v>6</v>
      </c>
    </row>
    <row r="51" spans="1:10">
      <c r="A51" s="94" t="s">
        <v>9</v>
      </c>
      <c r="B51" s="94" t="s">
        <v>10</v>
      </c>
      <c r="C51" s="95">
        <v>18</v>
      </c>
      <c r="D51" s="96" t="s">
        <v>109</v>
      </c>
      <c r="E51" s="96" t="s">
        <v>110</v>
      </c>
      <c r="F51" s="97">
        <f>WORKDAY(G46,1)</f>
        <v>46216</v>
      </c>
      <c r="G51" s="97">
        <f t="shared" si="0"/>
        <v>46227</v>
      </c>
      <c r="H51" s="94">
        <v>10</v>
      </c>
      <c r="I51" s="94">
        <v>0</v>
      </c>
      <c r="J51" s="4" t="s">
        <v>111</v>
      </c>
    </row>
    <row r="52" spans="1:10">
      <c r="A52" s="94" t="s">
        <v>9</v>
      </c>
      <c r="B52" s="94" t="s">
        <v>10</v>
      </c>
      <c r="C52" s="95">
        <v>18</v>
      </c>
      <c r="D52" s="96" t="s">
        <v>112</v>
      </c>
      <c r="E52" s="96" t="s">
        <v>102</v>
      </c>
      <c r="F52" s="97">
        <f>WORKDAY(G46,1)</f>
        <v>46216</v>
      </c>
      <c r="G52" s="97">
        <f t="shared" si="0"/>
        <v>46227</v>
      </c>
      <c r="H52" s="94">
        <v>10</v>
      </c>
      <c r="I52" s="94">
        <v>0</v>
      </c>
    </row>
    <row r="53" spans="1:10">
      <c r="A53" s="77" t="s">
        <v>9</v>
      </c>
      <c r="B53" s="77" t="s">
        <v>10</v>
      </c>
      <c r="C53" s="98">
        <v>18</v>
      </c>
      <c r="D53" s="77" t="s">
        <v>113</v>
      </c>
      <c r="E53" s="77" t="s">
        <v>114</v>
      </c>
      <c r="F53" s="44">
        <f>WORKDAY(G51,-4)</f>
        <v>46223</v>
      </c>
      <c r="G53" s="44">
        <f t="shared" si="0"/>
        <v>46227</v>
      </c>
      <c r="H53" s="77">
        <v>5</v>
      </c>
      <c r="I53" s="77">
        <v>1</v>
      </c>
      <c r="J53" s="4" t="s">
        <v>115</v>
      </c>
    </row>
    <row r="54" spans="1:10">
      <c r="A54" s="77" t="s">
        <v>9</v>
      </c>
      <c r="B54" s="77" t="s">
        <v>10</v>
      </c>
      <c r="C54" s="98">
        <v>18</v>
      </c>
      <c r="D54" s="77" t="s">
        <v>116</v>
      </c>
      <c r="E54" s="77" t="s">
        <v>60</v>
      </c>
      <c r="F54" s="44">
        <f>WORKDAY(G51,-4)</f>
        <v>46223</v>
      </c>
      <c r="G54" s="44">
        <f t="shared" si="0"/>
        <v>46227</v>
      </c>
      <c r="H54" s="77">
        <v>5</v>
      </c>
      <c r="I54" s="77">
        <v>0</v>
      </c>
    </row>
    <row r="55" spans="1:10">
      <c r="A55" s="99" t="s">
        <v>9</v>
      </c>
      <c r="B55" s="99" t="s">
        <v>117</v>
      </c>
      <c r="C55" s="7">
        <v>2</v>
      </c>
      <c r="D55" s="6" t="s">
        <v>11</v>
      </c>
      <c r="E55" s="6" t="s">
        <v>12</v>
      </c>
      <c r="F55" s="8">
        <f>WORKDAY(G4,1)</f>
        <v>46069</v>
      </c>
      <c r="G55" s="8">
        <f>WORKDAY(F55,H55-1,)</f>
        <v>46080</v>
      </c>
      <c r="H55" s="6">
        <v>10</v>
      </c>
      <c r="I55" s="6">
        <v>36</v>
      </c>
    </row>
    <row r="56" spans="1:10">
      <c r="A56" s="99" t="s">
        <v>9</v>
      </c>
      <c r="B56" s="99" t="s">
        <v>117</v>
      </c>
      <c r="C56" s="7">
        <v>2</v>
      </c>
      <c r="D56" s="6" t="s">
        <v>13</v>
      </c>
      <c r="E56" s="6" t="s">
        <v>14</v>
      </c>
      <c r="F56" s="8">
        <f>WORKDAY(G4,1)</f>
        <v>46069</v>
      </c>
      <c r="G56" s="8">
        <f t="shared" ref="G56" si="6">WORKDAY(F56,H56-1,)</f>
        <v>46080</v>
      </c>
      <c r="H56" s="6">
        <v>10</v>
      </c>
      <c r="I56" s="6">
        <v>1</v>
      </c>
    </row>
    <row r="57" spans="1:10">
      <c r="A57" s="99" t="s">
        <v>9</v>
      </c>
      <c r="B57" s="99" t="s">
        <v>117</v>
      </c>
      <c r="C57" s="7">
        <v>2</v>
      </c>
      <c r="D57" s="6" t="s">
        <v>15</v>
      </c>
      <c r="E57" s="6" t="s">
        <v>14</v>
      </c>
      <c r="F57" s="8">
        <f>WORKDAY(G4,1)</f>
        <v>46069</v>
      </c>
      <c r="G57" s="8">
        <f>WORKDAY(F57,H57-1,)</f>
        <v>46080</v>
      </c>
      <c r="H57" s="6">
        <v>10</v>
      </c>
      <c r="I57" s="6">
        <v>1</v>
      </c>
    </row>
    <row r="58" spans="1:10">
      <c r="A58" s="11" t="s">
        <v>9</v>
      </c>
      <c r="B58" s="101" t="s">
        <v>117</v>
      </c>
      <c r="C58" s="10">
        <v>3</v>
      </c>
      <c r="D58" s="11" t="s">
        <v>16</v>
      </c>
      <c r="E58" s="11" t="s">
        <v>17</v>
      </c>
      <c r="F58" s="12">
        <f>WORKDAY(G57,-4)</f>
        <v>46076</v>
      </c>
      <c r="G58" s="12">
        <f t="shared" ref="G58:G65" si="7">WORKDAY(F58,H58-1,)</f>
        <v>46087</v>
      </c>
      <c r="H58" s="11">
        <v>10</v>
      </c>
      <c r="I58" s="11">
        <v>5</v>
      </c>
    </row>
    <row r="59" spans="1:10">
      <c r="A59" s="11" t="s">
        <v>9</v>
      </c>
      <c r="B59" s="101" t="s">
        <v>117</v>
      </c>
      <c r="C59" s="10">
        <v>3</v>
      </c>
      <c r="D59" s="11" t="s">
        <v>18</v>
      </c>
      <c r="E59" s="11" t="s">
        <v>19</v>
      </c>
      <c r="F59" s="12">
        <f>WORKDAY(G57,-4)</f>
        <v>46076</v>
      </c>
      <c r="G59" s="12">
        <f t="shared" si="7"/>
        <v>46087</v>
      </c>
      <c r="H59" s="11">
        <v>10</v>
      </c>
      <c r="I59" s="13">
        <v>4</v>
      </c>
    </row>
    <row r="60" spans="1:10">
      <c r="A60" s="11" t="s">
        <v>9</v>
      </c>
      <c r="B60" s="101" t="s">
        <v>117</v>
      </c>
      <c r="C60" s="10">
        <v>3</v>
      </c>
      <c r="D60" s="11" t="s">
        <v>21</v>
      </c>
      <c r="E60" s="11" t="s">
        <v>22</v>
      </c>
      <c r="F60" s="12">
        <f>WORKDAY(G57,-4)</f>
        <v>46076</v>
      </c>
      <c r="G60" s="12">
        <f t="shared" si="7"/>
        <v>46087</v>
      </c>
      <c r="H60" s="11">
        <v>10</v>
      </c>
      <c r="I60" s="11">
        <v>3</v>
      </c>
    </row>
    <row r="61" spans="1:10">
      <c r="A61" s="11" t="s">
        <v>9</v>
      </c>
      <c r="B61" s="101" t="s">
        <v>117</v>
      </c>
      <c r="C61" s="10">
        <v>3</v>
      </c>
      <c r="D61" s="11" t="s">
        <v>24</v>
      </c>
      <c r="E61" s="11" t="s">
        <v>25</v>
      </c>
      <c r="F61" s="12">
        <f>WORKDAY(G57,-4)</f>
        <v>46076</v>
      </c>
      <c r="G61" s="12">
        <f t="shared" si="7"/>
        <v>46087</v>
      </c>
      <c r="H61" s="11">
        <v>10</v>
      </c>
      <c r="I61" s="11">
        <v>0</v>
      </c>
    </row>
    <row r="62" spans="1:10">
      <c r="A62" s="17" t="s">
        <v>9</v>
      </c>
      <c r="B62" s="103" t="s">
        <v>117</v>
      </c>
      <c r="C62" s="16">
        <v>4</v>
      </c>
      <c r="D62" s="17" t="s">
        <v>26</v>
      </c>
      <c r="E62" s="17" t="s">
        <v>27</v>
      </c>
      <c r="F62" s="18">
        <f>WORKDAY(G61,-4)</f>
        <v>46083</v>
      </c>
      <c r="G62" s="18">
        <f t="shared" si="7"/>
        <v>46094</v>
      </c>
      <c r="H62" s="17">
        <v>10</v>
      </c>
      <c r="I62" s="17">
        <v>2</v>
      </c>
    </row>
    <row r="63" spans="1:10">
      <c r="A63" s="21" t="s">
        <v>9</v>
      </c>
      <c r="B63" s="21" t="s">
        <v>117</v>
      </c>
      <c r="C63" s="20">
        <v>5</v>
      </c>
      <c r="D63" s="21" t="s">
        <v>29</v>
      </c>
      <c r="E63" s="21" t="s">
        <v>30</v>
      </c>
      <c r="F63" s="22">
        <f>WORKDAY(F62,5)</f>
        <v>46090</v>
      </c>
      <c r="G63" s="22">
        <f t="shared" si="7"/>
        <v>46094</v>
      </c>
      <c r="H63" s="21">
        <v>5</v>
      </c>
      <c r="I63" s="21">
        <v>4</v>
      </c>
    </row>
    <row r="64" spans="1:10">
      <c r="A64" s="21" t="s">
        <v>9</v>
      </c>
      <c r="B64" s="21" t="s">
        <v>117</v>
      </c>
      <c r="C64" s="20">
        <v>5</v>
      </c>
      <c r="D64" s="21" t="s">
        <v>32</v>
      </c>
      <c r="E64" s="21" t="s">
        <v>30</v>
      </c>
      <c r="F64" s="22">
        <f>WORKDAY(G62,1)</f>
        <v>46097</v>
      </c>
      <c r="G64" s="22">
        <f t="shared" si="7"/>
        <v>46101</v>
      </c>
      <c r="H64" s="21">
        <v>5</v>
      </c>
      <c r="I64" s="21">
        <v>1</v>
      </c>
    </row>
    <row r="65" spans="1:9">
      <c r="A65" s="21" t="s">
        <v>9</v>
      </c>
      <c r="B65" s="21" t="s">
        <v>117</v>
      </c>
      <c r="C65" s="20">
        <v>5</v>
      </c>
      <c r="D65" s="21" t="s">
        <v>34</v>
      </c>
      <c r="E65" s="21" t="s">
        <v>35</v>
      </c>
      <c r="F65" s="22">
        <f>WORKDAY(G59,1)</f>
        <v>46090</v>
      </c>
      <c r="G65" s="22">
        <f t="shared" si="7"/>
        <v>46101</v>
      </c>
      <c r="H65" s="21">
        <v>10</v>
      </c>
      <c r="I65" s="21">
        <v>3</v>
      </c>
    </row>
    <row r="66" spans="1:9">
      <c r="A66" s="31" t="s">
        <v>9</v>
      </c>
      <c r="B66" s="31" t="s">
        <v>117</v>
      </c>
      <c r="C66" s="30">
        <v>6</v>
      </c>
      <c r="D66" s="31" t="s">
        <v>37</v>
      </c>
      <c r="E66" s="31" t="s">
        <v>38</v>
      </c>
      <c r="F66" s="32">
        <f>WORKDAY(G65,1)</f>
        <v>46104</v>
      </c>
      <c r="G66" s="32">
        <f>WORKDAY(F66,H66-1,)</f>
        <v>46115</v>
      </c>
      <c r="H66" s="31">
        <v>10</v>
      </c>
      <c r="I66" s="128">
        <v>5</v>
      </c>
    </row>
    <row r="67" spans="1:9">
      <c r="A67" s="31" t="s">
        <v>9</v>
      </c>
      <c r="B67" s="31" t="s">
        <v>117</v>
      </c>
      <c r="C67" s="30">
        <v>6</v>
      </c>
      <c r="D67" s="31" t="s">
        <v>40</v>
      </c>
      <c r="E67" s="31" t="s">
        <v>41</v>
      </c>
      <c r="F67" s="32">
        <f>WORKDAY(G65,1)</f>
        <v>46104</v>
      </c>
      <c r="G67" s="32">
        <f t="shared" ref="G67:G79" si="8">WORKDAY(F67,H67-1,)</f>
        <v>46115</v>
      </c>
      <c r="H67" s="31">
        <v>10</v>
      </c>
      <c r="I67" s="128"/>
    </row>
    <row r="68" spans="1:9">
      <c r="A68" s="31" t="s">
        <v>9</v>
      </c>
      <c r="B68" s="31" t="s">
        <v>117</v>
      </c>
      <c r="C68" s="30">
        <v>6</v>
      </c>
      <c r="D68" s="31" t="s">
        <v>42</v>
      </c>
      <c r="E68" s="31" t="s">
        <v>43</v>
      </c>
      <c r="F68" s="32">
        <f>WORKDAY(G65,1)</f>
        <v>46104</v>
      </c>
      <c r="G68" s="32">
        <f t="shared" si="8"/>
        <v>46115</v>
      </c>
      <c r="H68" s="31">
        <v>10</v>
      </c>
      <c r="I68" s="128"/>
    </row>
    <row r="69" spans="1:9">
      <c r="A69" s="31" t="s">
        <v>9</v>
      </c>
      <c r="B69" s="31" t="s">
        <v>117</v>
      </c>
      <c r="C69" s="30">
        <v>6</v>
      </c>
      <c r="D69" s="31" t="s">
        <v>44</v>
      </c>
      <c r="E69" s="31" t="s">
        <v>43</v>
      </c>
      <c r="F69" s="32">
        <f>WORKDAY(G65,1)</f>
        <v>46104</v>
      </c>
      <c r="G69" s="32">
        <f t="shared" si="8"/>
        <v>46115</v>
      </c>
      <c r="H69" s="31">
        <v>10</v>
      </c>
      <c r="I69" s="128"/>
    </row>
    <row r="70" spans="1:9">
      <c r="A70" s="31" t="s">
        <v>9</v>
      </c>
      <c r="B70" s="31" t="s">
        <v>117</v>
      </c>
      <c r="C70" s="34">
        <v>6</v>
      </c>
      <c r="D70" s="31" t="s">
        <v>45</v>
      </c>
      <c r="E70" s="31" t="s">
        <v>22</v>
      </c>
      <c r="F70" s="32">
        <f>WORKDAY(G65,1)</f>
        <v>46104</v>
      </c>
      <c r="G70" s="32">
        <f t="shared" si="8"/>
        <v>46115</v>
      </c>
      <c r="H70" s="31">
        <v>10</v>
      </c>
      <c r="I70" s="31">
        <v>5</v>
      </c>
    </row>
    <row r="71" spans="1:9">
      <c r="A71" s="25" t="s">
        <v>9</v>
      </c>
      <c r="B71" s="25" t="s">
        <v>117</v>
      </c>
      <c r="C71" s="37">
        <v>7</v>
      </c>
      <c r="D71" s="26" t="s">
        <v>47</v>
      </c>
      <c r="E71" s="26" t="s">
        <v>48</v>
      </c>
      <c r="F71" s="27">
        <f>WORKDAY(G70,-4)</f>
        <v>46111</v>
      </c>
      <c r="G71" s="28">
        <f t="shared" si="8"/>
        <v>46122</v>
      </c>
      <c r="H71" s="26">
        <v>10</v>
      </c>
      <c r="I71" s="26">
        <v>11</v>
      </c>
    </row>
    <row r="72" spans="1:9">
      <c r="A72" s="77" t="s">
        <v>9</v>
      </c>
      <c r="B72" s="77" t="s">
        <v>117</v>
      </c>
      <c r="C72" s="41">
        <v>7</v>
      </c>
      <c r="D72" s="42" t="s">
        <v>50</v>
      </c>
      <c r="E72" s="42" t="s">
        <v>51</v>
      </c>
      <c r="F72" s="43">
        <f>WORKDAY(G70,1)</f>
        <v>46118</v>
      </c>
      <c r="G72" s="44">
        <f t="shared" si="8"/>
        <v>46118</v>
      </c>
      <c r="H72" s="42">
        <v>1</v>
      </c>
      <c r="I72" s="42">
        <v>0</v>
      </c>
    </row>
    <row r="73" spans="1:9">
      <c r="A73" s="21" t="s">
        <v>9</v>
      </c>
      <c r="B73" s="21" t="s">
        <v>117</v>
      </c>
      <c r="C73" s="46">
        <v>8</v>
      </c>
      <c r="D73" s="47" t="s">
        <v>52</v>
      </c>
      <c r="E73" s="47" t="s">
        <v>53</v>
      </c>
      <c r="F73" s="48">
        <f>WORKDAY(G71,1)</f>
        <v>46125</v>
      </c>
      <c r="G73" s="22">
        <f t="shared" si="8"/>
        <v>46136</v>
      </c>
      <c r="H73" s="47">
        <v>10</v>
      </c>
      <c r="I73" s="47">
        <v>5</v>
      </c>
    </row>
    <row r="74" spans="1:9">
      <c r="A74" s="21" t="s">
        <v>9</v>
      </c>
      <c r="B74" s="21" t="s">
        <v>117</v>
      </c>
      <c r="C74" s="46">
        <v>8</v>
      </c>
      <c r="D74" s="49" t="s">
        <v>55</v>
      </c>
      <c r="E74" s="47" t="s">
        <v>53</v>
      </c>
      <c r="F74" s="48">
        <f>WORKDAY(G71,1)</f>
        <v>46125</v>
      </c>
      <c r="G74" s="22">
        <f t="shared" si="8"/>
        <v>46136</v>
      </c>
      <c r="H74" s="47">
        <v>10</v>
      </c>
      <c r="I74" s="47">
        <v>0</v>
      </c>
    </row>
    <row r="75" spans="1:9">
      <c r="A75" s="52" t="s">
        <v>9</v>
      </c>
      <c r="B75" s="52" t="s">
        <v>117</v>
      </c>
      <c r="C75" s="51">
        <v>9</v>
      </c>
      <c r="D75" s="52" t="s">
        <v>56</v>
      </c>
      <c r="E75" s="52" t="s">
        <v>57</v>
      </c>
      <c r="F75" s="53">
        <f t="shared" ref="F75" si="9">WORKDAY(G74,1)</f>
        <v>46139</v>
      </c>
      <c r="G75" s="53">
        <f t="shared" si="8"/>
        <v>46150</v>
      </c>
      <c r="H75" s="52">
        <v>10</v>
      </c>
      <c r="I75" s="52">
        <v>7</v>
      </c>
    </row>
    <row r="76" spans="1:9">
      <c r="A76" s="52" t="s">
        <v>9</v>
      </c>
      <c r="B76" s="52" t="s">
        <v>117</v>
      </c>
      <c r="C76" s="51">
        <v>9</v>
      </c>
      <c r="D76" s="52" t="s">
        <v>59</v>
      </c>
      <c r="E76" s="52" t="s">
        <v>60</v>
      </c>
      <c r="F76" s="53">
        <f>WORKDAY(G74,1)</f>
        <v>46139</v>
      </c>
      <c r="G76" s="53">
        <f t="shared" si="8"/>
        <v>46139</v>
      </c>
      <c r="H76" s="52">
        <v>1</v>
      </c>
      <c r="I76" s="52">
        <v>5</v>
      </c>
    </row>
    <row r="77" spans="1:9">
      <c r="A77" s="56" t="s">
        <v>9</v>
      </c>
      <c r="B77" s="56" t="s">
        <v>117</v>
      </c>
      <c r="C77" s="55">
        <v>10</v>
      </c>
      <c r="D77" s="56" t="s">
        <v>62</v>
      </c>
      <c r="E77" s="56" t="s">
        <v>63</v>
      </c>
      <c r="F77" s="57">
        <f>WORKDAY(G75,-4)</f>
        <v>46146</v>
      </c>
      <c r="G77" s="57">
        <f t="shared" si="8"/>
        <v>46157</v>
      </c>
      <c r="H77" s="56">
        <v>10</v>
      </c>
      <c r="I77" s="56">
        <v>10</v>
      </c>
    </row>
    <row r="78" spans="1:9">
      <c r="A78" s="56" t="s">
        <v>9</v>
      </c>
      <c r="B78" s="56" t="s">
        <v>117</v>
      </c>
      <c r="C78" s="55">
        <v>10</v>
      </c>
      <c r="D78" s="56" t="s">
        <v>64</v>
      </c>
      <c r="E78" s="56" t="s">
        <v>60</v>
      </c>
      <c r="F78" s="57">
        <f>WORKDAY(F77,1)</f>
        <v>46147</v>
      </c>
      <c r="G78" s="57">
        <f t="shared" si="8"/>
        <v>46157</v>
      </c>
      <c r="H78" s="56">
        <v>9</v>
      </c>
      <c r="I78" s="56">
        <v>0</v>
      </c>
    </row>
    <row r="79" spans="1:9">
      <c r="A79" s="31" t="s">
        <v>9</v>
      </c>
      <c r="B79" s="31" t="s">
        <v>117</v>
      </c>
      <c r="C79" s="34">
        <v>11</v>
      </c>
      <c r="D79" s="58" t="s">
        <v>65</v>
      </c>
      <c r="E79" s="58" t="s">
        <v>66</v>
      </c>
      <c r="F79" s="59">
        <f>WORKDAY(G77,1)</f>
        <v>46160</v>
      </c>
      <c r="G79" s="32">
        <f t="shared" si="8"/>
        <v>46171</v>
      </c>
      <c r="H79" s="58">
        <v>10</v>
      </c>
      <c r="I79" s="58">
        <v>4</v>
      </c>
    </row>
    <row r="80" spans="1:9">
      <c r="A80" s="106" t="s">
        <v>9</v>
      </c>
      <c r="B80" s="107" t="s">
        <v>117</v>
      </c>
      <c r="C80" s="63">
        <v>12</v>
      </c>
      <c r="D80" s="64" t="s">
        <v>68</v>
      </c>
      <c r="E80" s="64" t="s">
        <v>69</v>
      </c>
      <c r="F80" s="65">
        <f>WORKDAY(G79,1)</f>
        <v>46174</v>
      </c>
      <c r="G80" s="65">
        <f>WORKDAY(F80,H80-1,)</f>
        <v>46185</v>
      </c>
      <c r="H80" s="64">
        <v>10</v>
      </c>
      <c r="I80" s="130">
        <v>4</v>
      </c>
    </row>
    <row r="81" spans="1:9">
      <c r="A81" s="106" t="s">
        <v>9</v>
      </c>
      <c r="B81" s="107" t="s">
        <v>117</v>
      </c>
      <c r="C81" s="63">
        <v>12</v>
      </c>
      <c r="D81" s="64" t="s">
        <v>71</v>
      </c>
      <c r="E81" s="64" t="s">
        <v>41</v>
      </c>
      <c r="F81" s="65">
        <f>WORKDAY(G79,1)</f>
        <v>46174</v>
      </c>
      <c r="G81" s="65">
        <f t="shared" ref="G81:G83" si="10">WORKDAY(F80,H80-1,)</f>
        <v>46185</v>
      </c>
      <c r="H81" s="64">
        <v>10</v>
      </c>
      <c r="I81" s="130"/>
    </row>
    <row r="82" spans="1:9">
      <c r="A82" s="106" t="s">
        <v>9</v>
      </c>
      <c r="B82" s="107" t="s">
        <v>117</v>
      </c>
      <c r="C82" s="63">
        <v>12</v>
      </c>
      <c r="D82" s="64" t="s">
        <v>72</v>
      </c>
      <c r="E82" s="64" t="s">
        <v>41</v>
      </c>
      <c r="F82" s="65">
        <f>WORKDAY(G79,1)</f>
        <v>46174</v>
      </c>
      <c r="G82" s="65">
        <f t="shared" si="10"/>
        <v>46185</v>
      </c>
      <c r="H82" s="64">
        <v>10</v>
      </c>
      <c r="I82" s="130"/>
    </row>
    <row r="83" spans="1:9">
      <c r="A83" s="106" t="s">
        <v>9</v>
      </c>
      <c r="B83" s="107" t="s">
        <v>117</v>
      </c>
      <c r="C83" s="63">
        <v>12</v>
      </c>
      <c r="D83" s="64" t="s">
        <v>73</v>
      </c>
      <c r="E83" s="64" t="s">
        <v>43</v>
      </c>
      <c r="F83" s="65">
        <f>WORKDAY(G79,1)</f>
        <v>46174</v>
      </c>
      <c r="G83" s="65">
        <f t="shared" si="10"/>
        <v>46185</v>
      </c>
      <c r="H83" s="64">
        <v>10</v>
      </c>
      <c r="I83" s="130"/>
    </row>
    <row r="84" spans="1:9">
      <c r="A84" s="107" t="s">
        <v>9</v>
      </c>
      <c r="B84" s="107" t="s">
        <v>117</v>
      </c>
      <c r="C84" s="63">
        <v>12</v>
      </c>
      <c r="D84" s="64" t="s">
        <v>74</v>
      </c>
      <c r="E84" s="64" t="s">
        <v>75</v>
      </c>
      <c r="F84" s="65">
        <f>WORKDAY(G79,1)</f>
        <v>46174</v>
      </c>
      <c r="G84" s="66">
        <f>WORKDAY(F84,H84-1,)</f>
        <v>46185</v>
      </c>
      <c r="H84" s="64">
        <v>10</v>
      </c>
      <c r="I84" s="64">
        <v>6</v>
      </c>
    </row>
    <row r="85" spans="1:9">
      <c r="A85" s="107" t="s">
        <v>9</v>
      </c>
      <c r="B85" s="107" t="s">
        <v>117</v>
      </c>
      <c r="C85" s="63">
        <v>12</v>
      </c>
      <c r="D85" s="64" t="s">
        <v>77</v>
      </c>
      <c r="E85" s="64" t="s">
        <v>78</v>
      </c>
      <c r="F85" s="65">
        <f>WORKDAY(G79,1)</f>
        <v>46174</v>
      </c>
      <c r="G85" s="66">
        <f t="shared" ref="G85:G107" si="11">WORKDAY(F85,H85-1,)</f>
        <v>46185</v>
      </c>
      <c r="H85" s="64">
        <v>10</v>
      </c>
      <c r="I85" s="64">
        <v>1</v>
      </c>
    </row>
    <row r="86" spans="1:9">
      <c r="A86" s="107" t="s">
        <v>9</v>
      </c>
      <c r="B86" s="107" t="s">
        <v>117</v>
      </c>
      <c r="C86" s="63">
        <v>12</v>
      </c>
      <c r="D86" s="64" t="s">
        <v>80</v>
      </c>
      <c r="E86" s="64" t="s">
        <v>78</v>
      </c>
      <c r="F86" s="65">
        <f>WORKDAY(G79,1)</f>
        <v>46174</v>
      </c>
      <c r="G86" s="66">
        <f t="shared" si="11"/>
        <v>46185</v>
      </c>
      <c r="H86" s="64">
        <v>10</v>
      </c>
      <c r="I86" s="64">
        <v>0</v>
      </c>
    </row>
    <row r="87" spans="1:9">
      <c r="A87" s="107" t="s">
        <v>9</v>
      </c>
      <c r="B87" s="107" t="s">
        <v>117</v>
      </c>
      <c r="C87" s="63">
        <v>12</v>
      </c>
      <c r="D87" s="64" t="s">
        <v>81</v>
      </c>
      <c r="E87" s="64" t="s">
        <v>60</v>
      </c>
      <c r="F87" s="65">
        <f>WORKDAY(G79,1)</f>
        <v>46174</v>
      </c>
      <c r="G87" s="66">
        <f t="shared" si="11"/>
        <v>46185</v>
      </c>
      <c r="H87" s="64">
        <v>10</v>
      </c>
      <c r="I87" s="64">
        <v>4</v>
      </c>
    </row>
    <row r="88" spans="1:9">
      <c r="A88" s="70" t="s">
        <v>9</v>
      </c>
      <c r="B88" s="70" t="s">
        <v>117</v>
      </c>
      <c r="C88" s="69">
        <v>13</v>
      </c>
      <c r="D88" s="70" t="s">
        <v>82</v>
      </c>
      <c r="E88" s="70" t="s">
        <v>83</v>
      </c>
      <c r="F88" s="71">
        <f t="shared" ref="F88" si="12">WORKDAY(G87,1)</f>
        <v>46188</v>
      </c>
      <c r="G88" s="71">
        <f t="shared" si="11"/>
        <v>46199</v>
      </c>
      <c r="H88" s="70">
        <v>10</v>
      </c>
      <c r="I88" s="70">
        <v>4</v>
      </c>
    </row>
    <row r="89" spans="1:9">
      <c r="A89" s="77" t="s">
        <v>9</v>
      </c>
      <c r="B89" s="77" t="s">
        <v>117</v>
      </c>
      <c r="C89" s="74">
        <v>14</v>
      </c>
      <c r="D89" s="75" t="s">
        <v>85</v>
      </c>
      <c r="E89" s="75" t="s">
        <v>51</v>
      </c>
      <c r="F89" s="76">
        <f>WORKDAY(G88,-1)</f>
        <v>46198</v>
      </c>
      <c r="G89" s="44">
        <f t="shared" si="11"/>
        <v>46202</v>
      </c>
      <c r="H89" s="75">
        <v>3</v>
      </c>
      <c r="I89" s="75">
        <v>12</v>
      </c>
    </row>
    <row r="90" spans="1:9">
      <c r="A90" s="77" t="s">
        <v>9</v>
      </c>
      <c r="B90" s="77" t="s">
        <v>117</v>
      </c>
      <c r="C90" s="74">
        <v>14</v>
      </c>
      <c r="D90" s="75" t="s">
        <v>86</v>
      </c>
      <c r="E90" s="75" t="s">
        <v>60</v>
      </c>
      <c r="F90" s="76">
        <f>WORKDAY(G88,1)</f>
        <v>46202</v>
      </c>
      <c r="G90" s="44">
        <f t="shared" si="11"/>
        <v>46213</v>
      </c>
      <c r="H90" s="75">
        <v>10</v>
      </c>
      <c r="I90" s="75">
        <v>0</v>
      </c>
    </row>
    <row r="91" spans="1:9">
      <c r="A91" s="78" t="s">
        <v>9</v>
      </c>
      <c r="B91" s="78" t="s">
        <v>117</v>
      </c>
      <c r="C91" s="80">
        <v>14</v>
      </c>
      <c r="D91" s="79" t="s">
        <v>87</v>
      </c>
      <c r="E91" s="79" t="s">
        <v>88</v>
      </c>
      <c r="F91" s="81">
        <f>WORKDAY(F89,4)</f>
        <v>46204</v>
      </c>
      <c r="G91" s="82">
        <f t="shared" si="11"/>
        <v>46217</v>
      </c>
      <c r="H91" s="79">
        <v>10</v>
      </c>
      <c r="I91" s="79">
        <v>4</v>
      </c>
    </row>
    <row r="92" spans="1:9">
      <c r="A92" s="83" t="s">
        <v>9</v>
      </c>
      <c r="B92" s="83" t="s">
        <v>117</v>
      </c>
      <c r="C92" s="84">
        <v>15</v>
      </c>
      <c r="D92" s="83" t="s">
        <v>89</v>
      </c>
      <c r="E92" s="83" t="s">
        <v>43</v>
      </c>
      <c r="F92" s="85">
        <f>WORKDAY(F91,3)</f>
        <v>46209</v>
      </c>
      <c r="G92" s="85">
        <f t="shared" si="11"/>
        <v>46220</v>
      </c>
      <c r="H92" s="83">
        <v>10</v>
      </c>
      <c r="I92" s="127">
        <v>1</v>
      </c>
    </row>
    <row r="93" spans="1:9">
      <c r="A93" s="83" t="s">
        <v>9</v>
      </c>
      <c r="B93" s="83" t="s">
        <v>117</v>
      </c>
      <c r="C93" s="84">
        <v>15</v>
      </c>
      <c r="D93" s="83" t="s">
        <v>91</v>
      </c>
      <c r="E93" s="83" t="s">
        <v>43</v>
      </c>
      <c r="F93" s="85">
        <f>WORKDAY(F91,3)</f>
        <v>46209</v>
      </c>
      <c r="G93" s="85">
        <f t="shared" si="11"/>
        <v>46220</v>
      </c>
      <c r="H93" s="83">
        <v>10</v>
      </c>
      <c r="I93" s="127"/>
    </row>
    <row r="94" spans="1:9">
      <c r="A94" s="83" t="s">
        <v>9</v>
      </c>
      <c r="B94" s="83" t="s">
        <v>117</v>
      </c>
      <c r="C94" s="84">
        <v>15</v>
      </c>
      <c r="D94" s="83" t="s">
        <v>92</v>
      </c>
      <c r="E94" s="83" t="s">
        <v>14</v>
      </c>
      <c r="F94" s="85">
        <f>WORKDAY(F91,3)</f>
        <v>46209</v>
      </c>
      <c r="G94" s="85">
        <f t="shared" si="11"/>
        <v>46220</v>
      </c>
      <c r="H94" s="83">
        <v>10</v>
      </c>
      <c r="I94" s="127"/>
    </row>
    <row r="95" spans="1:9">
      <c r="A95" s="83" t="s">
        <v>9</v>
      </c>
      <c r="B95" s="83" t="s">
        <v>117</v>
      </c>
      <c r="C95" s="84">
        <v>15</v>
      </c>
      <c r="D95" s="83" t="s">
        <v>93</v>
      </c>
      <c r="E95" s="83" t="s">
        <v>43</v>
      </c>
      <c r="F95" s="85">
        <f>WORKDAY(F91,3)</f>
        <v>46209</v>
      </c>
      <c r="G95" s="85">
        <f t="shared" si="11"/>
        <v>46220</v>
      </c>
      <c r="H95" s="83">
        <v>10</v>
      </c>
      <c r="I95" s="127"/>
    </row>
    <row r="96" spans="1:9">
      <c r="A96" s="83" t="s">
        <v>9</v>
      </c>
      <c r="B96" s="83" t="s">
        <v>117</v>
      </c>
      <c r="C96" s="84">
        <v>15</v>
      </c>
      <c r="D96" s="83" t="s">
        <v>94</v>
      </c>
      <c r="E96" s="83" t="s">
        <v>14</v>
      </c>
      <c r="F96" s="85">
        <f>WORKDAY(F91,3)</f>
        <v>46209</v>
      </c>
      <c r="G96" s="85">
        <f t="shared" si="11"/>
        <v>46220</v>
      </c>
      <c r="H96" s="83">
        <v>10</v>
      </c>
      <c r="I96" s="83">
        <v>1</v>
      </c>
    </row>
    <row r="97" spans="1:9">
      <c r="A97" s="86" t="s">
        <v>9</v>
      </c>
      <c r="B97" s="86" t="s">
        <v>117</v>
      </c>
      <c r="C97" s="87"/>
      <c r="D97" s="86" t="s">
        <v>95</v>
      </c>
      <c r="E97" s="86" t="s">
        <v>41</v>
      </c>
      <c r="F97" s="88">
        <f>WORKDAY(F96,3)</f>
        <v>46212</v>
      </c>
      <c r="G97" s="88">
        <f t="shared" si="11"/>
        <v>46220</v>
      </c>
      <c r="H97" s="86">
        <v>7</v>
      </c>
      <c r="I97" s="86">
        <v>0</v>
      </c>
    </row>
    <row r="98" spans="1:9">
      <c r="A98" s="89" t="s">
        <v>9</v>
      </c>
      <c r="B98" s="89" t="s">
        <v>117</v>
      </c>
      <c r="C98" s="90">
        <v>16</v>
      </c>
      <c r="D98" s="89" t="s">
        <v>96</v>
      </c>
      <c r="E98" s="89" t="s">
        <v>97</v>
      </c>
      <c r="F98" s="91">
        <f>WORKDAY(F97,2)</f>
        <v>46216</v>
      </c>
      <c r="G98" s="91">
        <f t="shared" si="11"/>
        <v>46227</v>
      </c>
      <c r="H98" s="89">
        <v>10</v>
      </c>
      <c r="I98" s="89">
        <v>2</v>
      </c>
    </row>
    <row r="99" spans="1:9">
      <c r="A99" s="89" t="s">
        <v>9</v>
      </c>
      <c r="B99" s="89" t="s">
        <v>117</v>
      </c>
      <c r="C99" s="90">
        <v>16</v>
      </c>
      <c r="D99" s="89" t="s">
        <v>98</v>
      </c>
      <c r="E99" s="89" t="s">
        <v>99</v>
      </c>
      <c r="F99" s="91">
        <f>WORKDAY(F97,2)</f>
        <v>46216</v>
      </c>
      <c r="G99" s="91">
        <f t="shared" si="11"/>
        <v>46227</v>
      </c>
      <c r="H99" s="89">
        <v>10</v>
      </c>
      <c r="I99" s="89">
        <v>9</v>
      </c>
    </row>
    <row r="100" spans="1:9">
      <c r="A100" s="89" t="s">
        <v>9</v>
      </c>
      <c r="B100" s="89" t="s">
        <v>117</v>
      </c>
      <c r="C100" s="90">
        <v>16</v>
      </c>
      <c r="D100" s="89" t="s">
        <v>101</v>
      </c>
      <c r="E100" s="89" t="s">
        <v>102</v>
      </c>
      <c r="F100" s="91">
        <f>WORKDAY(F97,2)</f>
        <v>46216</v>
      </c>
      <c r="G100" s="91">
        <f t="shared" si="11"/>
        <v>46227</v>
      </c>
      <c r="H100" s="89">
        <v>10</v>
      </c>
      <c r="I100" s="89">
        <v>0</v>
      </c>
    </row>
    <row r="101" spans="1:9">
      <c r="A101" s="38" t="s">
        <v>9</v>
      </c>
      <c r="B101" s="38" t="s">
        <v>117</v>
      </c>
      <c r="C101" s="92">
        <v>17</v>
      </c>
      <c r="D101" s="38" t="s">
        <v>103</v>
      </c>
      <c r="E101" s="38" t="s">
        <v>104</v>
      </c>
      <c r="F101" s="93">
        <f>WORKDAY(G99,-4)</f>
        <v>46223</v>
      </c>
      <c r="G101" s="93">
        <f t="shared" si="11"/>
        <v>46225</v>
      </c>
      <c r="H101" s="38">
        <v>3</v>
      </c>
      <c r="I101" s="38">
        <v>0</v>
      </c>
    </row>
    <row r="102" spans="1:9">
      <c r="A102" s="38" t="s">
        <v>9</v>
      </c>
      <c r="B102" s="38" t="s">
        <v>117</v>
      </c>
      <c r="C102" s="92">
        <v>17</v>
      </c>
      <c r="D102" s="38" t="s">
        <v>106</v>
      </c>
      <c r="E102" s="38" t="s">
        <v>22</v>
      </c>
      <c r="F102" s="93">
        <f>WORKDAY(G99,-4)</f>
        <v>46223</v>
      </c>
      <c r="G102" s="93">
        <f t="shared" si="11"/>
        <v>46234</v>
      </c>
      <c r="H102" s="38">
        <v>10</v>
      </c>
      <c r="I102" s="38">
        <v>10</v>
      </c>
    </row>
    <row r="103" spans="1:9">
      <c r="A103" s="38" t="s">
        <v>9</v>
      </c>
      <c r="B103" s="38" t="s">
        <v>117</v>
      </c>
      <c r="C103" s="92">
        <v>17</v>
      </c>
      <c r="D103" s="38" t="s">
        <v>108</v>
      </c>
      <c r="E103" s="38" t="s">
        <v>97</v>
      </c>
      <c r="F103" s="93">
        <f>WORKDAY(G99,-4)</f>
        <v>46223</v>
      </c>
      <c r="G103" s="93">
        <f t="shared" si="11"/>
        <v>46234</v>
      </c>
      <c r="H103" s="38">
        <v>10</v>
      </c>
      <c r="I103" s="38">
        <v>6</v>
      </c>
    </row>
    <row r="104" spans="1:9">
      <c r="A104" s="94" t="s">
        <v>9</v>
      </c>
      <c r="B104" s="94" t="s">
        <v>117</v>
      </c>
      <c r="C104" s="95">
        <v>18</v>
      </c>
      <c r="D104" s="96" t="s">
        <v>109</v>
      </c>
      <c r="E104" s="96" t="s">
        <v>110</v>
      </c>
      <c r="F104" s="97">
        <f>WORKDAY(G99,1)</f>
        <v>46230</v>
      </c>
      <c r="G104" s="97">
        <f t="shared" si="11"/>
        <v>46241</v>
      </c>
      <c r="H104" s="94">
        <v>10</v>
      </c>
      <c r="I104" s="94">
        <v>0</v>
      </c>
    </row>
    <row r="105" spans="1:9">
      <c r="A105" s="94" t="s">
        <v>9</v>
      </c>
      <c r="B105" s="94" t="s">
        <v>117</v>
      </c>
      <c r="C105" s="95">
        <v>18</v>
      </c>
      <c r="D105" s="96" t="s">
        <v>112</v>
      </c>
      <c r="E105" s="96" t="s">
        <v>102</v>
      </c>
      <c r="F105" s="97">
        <f>WORKDAY(G99,1)</f>
        <v>46230</v>
      </c>
      <c r="G105" s="97">
        <f t="shared" si="11"/>
        <v>46241</v>
      </c>
      <c r="H105" s="94">
        <v>10</v>
      </c>
      <c r="I105" s="94">
        <v>0</v>
      </c>
    </row>
    <row r="106" spans="1:9">
      <c r="A106" s="77" t="s">
        <v>9</v>
      </c>
      <c r="B106" s="77" t="s">
        <v>117</v>
      </c>
      <c r="C106" s="98">
        <v>18</v>
      </c>
      <c r="D106" s="77" t="s">
        <v>113</v>
      </c>
      <c r="E106" s="77" t="s">
        <v>114</v>
      </c>
      <c r="F106" s="44">
        <f>WORKDAY(G104,-4)</f>
        <v>46237</v>
      </c>
      <c r="G106" s="44">
        <f t="shared" si="11"/>
        <v>46241</v>
      </c>
      <c r="H106" s="77">
        <v>5</v>
      </c>
      <c r="I106" s="77">
        <v>1</v>
      </c>
    </row>
    <row r="107" spans="1:9">
      <c r="A107" s="77" t="s">
        <v>9</v>
      </c>
      <c r="B107" s="77" t="s">
        <v>117</v>
      </c>
      <c r="C107" s="98">
        <v>18</v>
      </c>
      <c r="D107" s="77" t="s">
        <v>116</v>
      </c>
      <c r="E107" s="77" t="s">
        <v>60</v>
      </c>
      <c r="F107" s="44">
        <f>WORKDAY(G104,-4)</f>
        <v>46237</v>
      </c>
      <c r="G107" s="44">
        <f t="shared" si="11"/>
        <v>46241</v>
      </c>
      <c r="H107" s="77">
        <v>5</v>
      </c>
      <c r="I107" s="77">
        <v>0</v>
      </c>
    </row>
    <row r="108" spans="1:9">
      <c r="A108" s="99" t="s">
        <v>9</v>
      </c>
      <c r="B108" s="99" t="s">
        <v>118</v>
      </c>
      <c r="C108" s="7">
        <v>2</v>
      </c>
      <c r="D108" s="6" t="s">
        <v>11</v>
      </c>
      <c r="E108" s="6" t="s">
        <v>12</v>
      </c>
      <c r="F108" s="8">
        <f>WORKDAY(G57,1)</f>
        <v>46083</v>
      </c>
      <c r="G108" s="8">
        <f>WORKDAY(F108,H108-1,)</f>
        <v>46094</v>
      </c>
      <c r="H108" s="6">
        <v>10</v>
      </c>
      <c r="I108" s="6">
        <v>36</v>
      </c>
    </row>
    <row r="109" spans="1:9">
      <c r="A109" s="99" t="s">
        <v>9</v>
      </c>
      <c r="B109" s="99" t="s">
        <v>118</v>
      </c>
      <c r="C109" s="7">
        <v>2</v>
      </c>
      <c r="D109" s="6" t="s">
        <v>13</v>
      </c>
      <c r="E109" s="6" t="s">
        <v>14</v>
      </c>
      <c r="F109" s="8">
        <f>WORKDAY(G57,1)</f>
        <v>46083</v>
      </c>
      <c r="G109" s="8">
        <f t="shared" ref="G109" si="13">WORKDAY(F109,H109-1,)</f>
        <v>46094</v>
      </c>
      <c r="H109" s="6">
        <v>10</v>
      </c>
      <c r="I109" s="6">
        <v>1</v>
      </c>
    </row>
    <row r="110" spans="1:9">
      <c r="A110" s="99" t="s">
        <v>9</v>
      </c>
      <c r="B110" s="99" t="s">
        <v>118</v>
      </c>
      <c r="C110" s="7">
        <v>2</v>
      </c>
      <c r="D110" s="6" t="s">
        <v>15</v>
      </c>
      <c r="E110" s="6" t="s">
        <v>14</v>
      </c>
      <c r="F110" s="8">
        <f>WORKDAY(G57,1)</f>
        <v>46083</v>
      </c>
      <c r="G110" s="8">
        <f>WORKDAY(F110,H110-1,)</f>
        <v>46094</v>
      </c>
      <c r="H110" s="6">
        <v>10</v>
      </c>
      <c r="I110" s="6">
        <v>1</v>
      </c>
    </row>
    <row r="111" spans="1:9">
      <c r="A111" s="11" t="s">
        <v>9</v>
      </c>
      <c r="B111" s="101" t="s">
        <v>118</v>
      </c>
      <c r="C111" s="10">
        <v>3</v>
      </c>
      <c r="D111" s="11" t="s">
        <v>16</v>
      </c>
      <c r="E111" s="11" t="s">
        <v>17</v>
      </c>
      <c r="F111" s="12">
        <f>WORKDAY(G110,-4)</f>
        <v>46090</v>
      </c>
      <c r="G111" s="12">
        <f t="shared" ref="G111:G118" si="14">WORKDAY(F111,H111-1,)</f>
        <v>46101</v>
      </c>
      <c r="H111" s="11">
        <v>10</v>
      </c>
      <c r="I111" s="11">
        <v>5</v>
      </c>
    </row>
    <row r="112" spans="1:9">
      <c r="A112" s="11" t="s">
        <v>9</v>
      </c>
      <c r="B112" s="101" t="s">
        <v>118</v>
      </c>
      <c r="C112" s="10">
        <v>3</v>
      </c>
      <c r="D112" s="11" t="s">
        <v>18</v>
      </c>
      <c r="E112" s="11" t="s">
        <v>19</v>
      </c>
      <c r="F112" s="12">
        <f>WORKDAY(G110,-4)</f>
        <v>46090</v>
      </c>
      <c r="G112" s="12">
        <f t="shared" si="14"/>
        <v>46101</v>
      </c>
      <c r="H112" s="11">
        <v>10</v>
      </c>
      <c r="I112" s="13">
        <v>4</v>
      </c>
    </row>
    <row r="113" spans="1:9">
      <c r="A113" s="11" t="s">
        <v>9</v>
      </c>
      <c r="B113" s="101" t="s">
        <v>118</v>
      </c>
      <c r="C113" s="10">
        <v>3</v>
      </c>
      <c r="D113" s="11" t="s">
        <v>21</v>
      </c>
      <c r="E113" s="11" t="s">
        <v>22</v>
      </c>
      <c r="F113" s="12">
        <f>WORKDAY(G110,-4)</f>
        <v>46090</v>
      </c>
      <c r="G113" s="12">
        <f t="shared" si="14"/>
        <v>46101</v>
      </c>
      <c r="H113" s="11">
        <v>10</v>
      </c>
      <c r="I113" s="11">
        <v>3</v>
      </c>
    </row>
    <row r="114" spans="1:9">
      <c r="A114" s="11" t="s">
        <v>9</v>
      </c>
      <c r="B114" s="101" t="s">
        <v>118</v>
      </c>
      <c r="C114" s="10">
        <v>3</v>
      </c>
      <c r="D114" s="11" t="s">
        <v>24</v>
      </c>
      <c r="E114" s="11" t="s">
        <v>25</v>
      </c>
      <c r="F114" s="12">
        <f>WORKDAY(G110,-4)</f>
        <v>46090</v>
      </c>
      <c r="G114" s="12">
        <f t="shared" si="14"/>
        <v>46101</v>
      </c>
      <c r="H114" s="11">
        <v>10</v>
      </c>
      <c r="I114" s="11">
        <v>0</v>
      </c>
    </row>
    <row r="115" spans="1:9">
      <c r="A115" s="17" t="s">
        <v>9</v>
      </c>
      <c r="B115" s="103" t="s">
        <v>118</v>
      </c>
      <c r="C115" s="16">
        <v>4</v>
      </c>
      <c r="D115" s="17" t="s">
        <v>26</v>
      </c>
      <c r="E115" s="17" t="s">
        <v>27</v>
      </c>
      <c r="F115" s="18">
        <f>WORKDAY(G114,-4)</f>
        <v>46097</v>
      </c>
      <c r="G115" s="18">
        <f t="shared" si="14"/>
        <v>46108</v>
      </c>
      <c r="H115" s="17">
        <v>10</v>
      </c>
      <c r="I115" s="17">
        <v>2</v>
      </c>
    </row>
    <row r="116" spans="1:9">
      <c r="A116" s="21" t="s">
        <v>9</v>
      </c>
      <c r="B116" s="21" t="s">
        <v>118</v>
      </c>
      <c r="C116" s="20">
        <v>5</v>
      </c>
      <c r="D116" s="21" t="s">
        <v>29</v>
      </c>
      <c r="E116" s="21" t="s">
        <v>30</v>
      </c>
      <c r="F116" s="22">
        <f>WORKDAY(F115,5)</f>
        <v>46104</v>
      </c>
      <c r="G116" s="22">
        <f t="shared" si="14"/>
        <v>46108</v>
      </c>
      <c r="H116" s="21">
        <v>5</v>
      </c>
      <c r="I116" s="21">
        <v>4</v>
      </c>
    </row>
    <row r="117" spans="1:9">
      <c r="A117" s="21" t="s">
        <v>9</v>
      </c>
      <c r="B117" s="21" t="s">
        <v>118</v>
      </c>
      <c r="C117" s="20">
        <v>5</v>
      </c>
      <c r="D117" s="21" t="s">
        <v>32</v>
      </c>
      <c r="E117" s="21" t="s">
        <v>30</v>
      </c>
      <c r="F117" s="22">
        <f>WORKDAY(G115,1)</f>
        <v>46111</v>
      </c>
      <c r="G117" s="22">
        <f t="shared" si="14"/>
        <v>46115</v>
      </c>
      <c r="H117" s="21">
        <v>5</v>
      </c>
      <c r="I117" s="21">
        <v>1</v>
      </c>
    </row>
    <row r="118" spans="1:9">
      <c r="A118" s="21" t="s">
        <v>9</v>
      </c>
      <c r="B118" s="21" t="s">
        <v>118</v>
      </c>
      <c r="C118" s="20">
        <v>5</v>
      </c>
      <c r="D118" s="21" t="s">
        <v>34</v>
      </c>
      <c r="E118" s="21" t="s">
        <v>35</v>
      </c>
      <c r="F118" s="22">
        <f>WORKDAY(G112,1)</f>
        <v>46104</v>
      </c>
      <c r="G118" s="22">
        <f t="shared" si="14"/>
        <v>46115</v>
      </c>
      <c r="H118" s="21">
        <v>10</v>
      </c>
      <c r="I118" s="21">
        <v>3</v>
      </c>
    </row>
    <row r="119" spans="1:9">
      <c r="A119" s="31" t="s">
        <v>9</v>
      </c>
      <c r="B119" s="31" t="s">
        <v>118</v>
      </c>
      <c r="C119" s="30">
        <v>6</v>
      </c>
      <c r="D119" s="31" t="s">
        <v>37</v>
      </c>
      <c r="E119" s="31" t="s">
        <v>38</v>
      </c>
      <c r="F119" s="32">
        <f>WORKDAY(G118,1)</f>
        <v>46118</v>
      </c>
      <c r="G119" s="32">
        <f>WORKDAY(F119,H119-1,)</f>
        <v>46129</v>
      </c>
      <c r="H119" s="31">
        <v>10</v>
      </c>
      <c r="I119" s="128">
        <v>5</v>
      </c>
    </row>
    <row r="120" spans="1:9">
      <c r="A120" s="31" t="s">
        <v>9</v>
      </c>
      <c r="B120" s="31" t="s">
        <v>118</v>
      </c>
      <c r="C120" s="30">
        <v>6</v>
      </c>
      <c r="D120" s="31" t="s">
        <v>40</v>
      </c>
      <c r="E120" s="31" t="s">
        <v>41</v>
      </c>
      <c r="F120" s="32">
        <f>WORKDAY(G118,1)</f>
        <v>46118</v>
      </c>
      <c r="G120" s="32">
        <f t="shared" ref="G120:G132" si="15">WORKDAY(F120,H120-1,)</f>
        <v>46129</v>
      </c>
      <c r="H120" s="31">
        <v>10</v>
      </c>
      <c r="I120" s="128"/>
    </row>
    <row r="121" spans="1:9">
      <c r="A121" s="31" t="s">
        <v>9</v>
      </c>
      <c r="B121" s="31" t="s">
        <v>118</v>
      </c>
      <c r="C121" s="30">
        <v>6</v>
      </c>
      <c r="D121" s="31" t="s">
        <v>42</v>
      </c>
      <c r="E121" s="31" t="s">
        <v>43</v>
      </c>
      <c r="F121" s="32">
        <f>WORKDAY(G118,1)</f>
        <v>46118</v>
      </c>
      <c r="G121" s="32">
        <f t="shared" si="15"/>
        <v>46129</v>
      </c>
      <c r="H121" s="31">
        <v>10</v>
      </c>
      <c r="I121" s="128"/>
    </row>
    <row r="122" spans="1:9">
      <c r="A122" s="31" t="s">
        <v>9</v>
      </c>
      <c r="B122" s="31" t="s">
        <v>118</v>
      </c>
      <c r="C122" s="30">
        <v>6</v>
      </c>
      <c r="D122" s="31" t="s">
        <v>44</v>
      </c>
      <c r="E122" s="31" t="s">
        <v>43</v>
      </c>
      <c r="F122" s="32">
        <f>WORKDAY(G118,1)</f>
        <v>46118</v>
      </c>
      <c r="G122" s="32">
        <f t="shared" si="15"/>
        <v>46129</v>
      </c>
      <c r="H122" s="31">
        <v>10</v>
      </c>
      <c r="I122" s="128"/>
    </row>
    <row r="123" spans="1:9">
      <c r="A123" s="31" t="s">
        <v>9</v>
      </c>
      <c r="B123" s="31" t="s">
        <v>118</v>
      </c>
      <c r="C123" s="34">
        <v>6</v>
      </c>
      <c r="D123" s="31" t="s">
        <v>45</v>
      </c>
      <c r="E123" s="31" t="s">
        <v>22</v>
      </c>
      <c r="F123" s="32">
        <f>WORKDAY(G118,1)</f>
        <v>46118</v>
      </c>
      <c r="G123" s="32">
        <f t="shared" si="15"/>
        <v>46129</v>
      </c>
      <c r="H123" s="31">
        <v>10</v>
      </c>
      <c r="I123" s="31">
        <v>5</v>
      </c>
    </row>
    <row r="124" spans="1:9">
      <c r="A124" s="25" t="s">
        <v>9</v>
      </c>
      <c r="B124" s="25" t="s">
        <v>118</v>
      </c>
      <c r="C124" s="37">
        <v>7</v>
      </c>
      <c r="D124" s="26" t="s">
        <v>47</v>
      </c>
      <c r="E124" s="26" t="s">
        <v>48</v>
      </c>
      <c r="F124" s="27">
        <f>WORKDAY(G123,-4)</f>
        <v>46125</v>
      </c>
      <c r="G124" s="28">
        <f t="shared" si="15"/>
        <v>46136</v>
      </c>
      <c r="H124" s="26">
        <v>10</v>
      </c>
      <c r="I124" s="26">
        <v>11</v>
      </c>
    </row>
    <row r="125" spans="1:9">
      <c r="A125" s="77" t="s">
        <v>9</v>
      </c>
      <c r="B125" s="77" t="s">
        <v>118</v>
      </c>
      <c r="C125" s="41">
        <v>7</v>
      </c>
      <c r="D125" s="42" t="s">
        <v>50</v>
      </c>
      <c r="E125" s="42" t="s">
        <v>51</v>
      </c>
      <c r="F125" s="43">
        <f>WORKDAY(G123,1)</f>
        <v>46132</v>
      </c>
      <c r="G125" s="44">
        <f t="shared" si="15"/>
        <v>46132</v>
      </c>
      <c r="H125" s="42">
        <v>1</v>
      </c>
      <c r="I125" s="42">
        <v>0</v>
      </c>
    </row>
    <row r="126" spans="1:9">
      <c r="A126" s="21" t="s">
        <v>9</v>
      </c>
      <c r="B126" s="21" t="s">
        <v>118</v>
      </c>
      <c r="C126" s="46">
        <v>8</v>
      </c>
      <c r="D126" s="47" t="s">
        <v>52</v>
      </c>
      <c r="E126" s="47" t="s">
        <v>53</v>
      </c>
      <c r="F126" s="48">
        <f>WORKDAY(G124,1)</f>
        <v>46139</v>
      </c>
      <c r="G126" s="22">
        <f t="shared" si="15"/>
        <v>46150</v>
      </c>
      <c r="H126" s="47">
        <v>10</v>
      </c>
      <c r="I126" s="47">
        <v>5</v>
      </c>
    </row>
    <row r="127" spans="1:9">
      <c r="A127" s="21" t="s">
        <v>9</v>
      </c>
      <c r="B127" s="21" t="s">
        <v>118</v>
      </c>
      <c r="C127" s="46">
        <v>8</v>
      </c>
      <c r="D127" s="49" t="s">
        <v>55</v>
      </c>
      <c r="E127" s="47" t="s">
        <v>53</v>
      </c>
      <c r="F127" s="48">
        <f>WORKDAY(G124,1)</f>
        <v>46139</v>
      </c>
      <c r="G127" s="22">
        <f t="shared" si="15"/>
        <v>46150</v>
      </c>
      <c r="H127" s="47">
        <v>10</v>
      </c>
      <c r="I127" s="47">
        <v>0</v>
      </c>
    </row>
    <row r="128" spans="1:9">
      <c r="A128" s="52" t="s">
        <v>9</v>
      </c>
      <c r="B128" s="110" t="s">
        <v>118</v>
      </c>
      <c r="C128" s="51">
        <v>9</v>
      </c>
      <c r="D128" s="52" t="s">
        <v>56</v>
      </c>
      <c r="E128" s="52" t="s">
        <v>57</v>
      </c>
      <c r="F128" s="53">
        <f t="shared" ref="F128" si="16">WORKDAY(G127,1)</f>
        <v>46153</v>
      </c>
      <c r="G128" s="53">
        <f t="shared" si="15"/>
        <v>46164</v>
      </c>
      <c r="H128" s="52">
        <v>10</v>
      </c>
      <c r="I128" s="52">
        <v>7</v>
      </c>
    </row>
    <row r="129" spans="1:9">
      <c r="A129" s="52" t="s">
        <v>9</v>
      </c>
      <c r="B129" s="110" t="s">
        <v>118</v>
      </c>
      <c r="C129" s="51">
        <v>9</v>
      </c>
      <c r="D129" s="52" t="s">
        <v>59</v>
      </c>
      <c r="E129" s="52" t="s">
        <v>60</v>
      </c>
      <c r="F129" s="53">
        <f>WORKDAY(G127,1)</f>
        <v>46153</v>
      </c>
      <c r="G129" s="53">
        <f t="shared" si="15"/>
        <v>46153</v>
      </c>
      <c r="H129" s="52">
        <v>1</v>
      </c>
      <c r="I129" s="52">
        <v>5</v>
      </c>
    </row>
    <row r="130" spans="1:9">
      <c r="A130" s="56" t="s">
        <v>9</v>
      </c>
      <c r="B130" s="112" t="s">
        <v>118</v>
      </c>
      <c r="C130" s="55">
        <v>10</v>
      </c>
      <c r="D130" s="56" t="s">
        <v>62</v>
      </c>
      <c r="E130" s="56" t="s">
        <v>63</v>
      </c>
      <c r="F130" s="57">
        <f>WORKDAY(G128,-4)</f>
        <v>46160</v>
      </c>
      <c r="G130" s="57">
        <f t="shared" si="15"/>
        <v>46171</v>
      </c>
      <c r="H130" s="56">
        <v>10</v>
      </c>
      <c r="I130" s="56">
        <v>10</v>
      </c>
    </row>
    <row r="131" spans="1:9">
      <c r="A131" s="56" t="s">
        <v>9</v>
      </c>
      <c r="B131" s="112" t="s">
        <v>118</v>
      </c>
      <c r="C131" s="55">
        <v>10</v>
      </c>
      <c r="D131" s="56" t="s">
        <v>64</v>
      </c>
      <c r="E131" s="56" t="s">
        <v>60</v>
      </c>
      <c r="F131" s="57">
        <f>WORKDAY(F130,1)</f>
        <v>46161</v>
      </c>
      <c r="G131" s="57">
        <f t="shared" si="15"/>
        <v>46171</v>
      </c>
      <c r="H131" s="56">
        <v>9</v>
      </c>
      <c r="I131" s="56">
        <v>0</v>
      </c>
    </row>
    <row r="132" spans="1:9">
      <c r="A132" s="31" t="s">
        <v>9</v>
      </c>
      <c r="B132" s="31" t="s">
        <v>118</v>
      </c>
      <c r="C132" s="34">
        <v>11</v>
      </c>
      <c r="D132" s="58" t="s">
        <v>65</v>
      </c>
      <c r="E132" s="58" t="s">
        <v>66</v>
      </c>
      <c r="F132" s="59">
        <f>WORKDAY(G130,1)</f>
        <v>46174</v>
      </c>
      <c r="G132" s="32">
        <f t="shared" si="15"/>
        <v>46185</v>
      </c>
      <c r="H132" s="58">
        <v>10</v>
      </c>
      <c r="I132" s="58">
        <v>4</v>
      </c>
    </row>
    <row r="133" spans="1:9">
      <c r="A133" s="106" t="s">
        <v>9</v>
      </c>
      <c r="B133" s="107" t="s">
        <v>118</v>
      </c>
      <c r="C133" s="63">
        <v>12</v>
      </c>
      <c r="D133" s="64" t="s">
        <v>68</v>
      </c>
      <c r="E133" s="64" t="s">
        <v>69</v>
      </c>
      <c r="F133" s="65">
        <f>WORKDAY(G132,1)</f>
        <v>46188</v>
      </c>
      <c r="G133" s="65">
        <f>WORKDAY(F133,H133-1,)</f>
        <v>46199</v>
      </c>
      <c r="H133" s="64">
        <v>10</v>
      </c>
      <c r="I133" s="130">
        <v>4</v>
      </c>
    </row>
    <row r="134" spans="1:9">
      <c r="A134" s="106" t="s">
        <v>9</v>
      </c>
      <c r="B134" s="107" t="s">
        <v>118</v>
      </c>
      <c r="C134" s="63">
        <v>12</v>
      </c>
      <c r="D134" s="64" t="s">
        <v>71</v>
      </c>
      <c r="E134" s="64" t="s">
        <v>41</v>
      </c>
      <c r="F134" s="65">
        <f>WORKDAY(G132,1)</f>
        <v>46188</v>
      </c>
      <c r="G134" s="65">
        <f t="shared" ref="G134:G136" si="17">WORKDAY(F133,H133-1,)</f>
        <v>46199</v>
      </c>
      <c r="H134" s="64">
        <v>10</v>
      </c>
      <c r="I134" s="130"/>
    </row>
    <row r="135" spans="1:9">
      <c r="A135" s="106" t="s">
        <v>9</v>
      </c>
      <c r="B135" s="107" t="s">
        <v>118</v>
      </c>
      <c r="C135" s="63">
        <v>12</v>
      </c>
      <c r="D135" s="64" t="s">
        <v>72</v>
      </c>
      <c r="E135" s="64" t="s">
        <v>41</v>
      </c>
      <c r="F135" s="65">
        <f>WORKDAY(G132,1)</f>
        <v>46188</v>
      </c>
      <c r="G135" s="65">
        <f t="shared" si="17"/>
        <v>46199</v>
      </c>
      <c r="H135" s="64">
        <v>10</v>
      </c>
      <c r="I135" s="130"/>
    </row>
    <row r="136" spans="1:9">
      <c r="A136" s="106" t="s">
        <v>9</v>
      </c>
      <c r="B136" s="107" t="s">
        <v>118</v>
      </c>
      <c r="C136" s="63">
        <v>12</v>
      </c>
      <c r="D136" s="64" t="s">
        <v>73</v>
      </c>
      <c r="E136" s="64" t="s">
        <v>43</v>
      </c>
      <c r="F136" s="65">
        <f>WORKDAY(G132,1)</f>
        <v>46188</v>
      </c>
      <c r="G136" s="65">
        <f t="shared" si="17"/>
        <v>46199</v>
      </c>
      <c r="H136" s="64">
        <v>10</v>
      </c>
      <c r="I136" s="130"/>
    </row>
    <row r="137" spans="1:9">
      <c r="A137" s="107" t="s">
        <v>9</v>
      </c>
      <c r="B137" s="107" t="s">
        <v>118</v>
      </c>
      <c r="C137" s="63">
        <v>12</v>
      </c>
      <c r="D137" s="64" t="s">
        <v>74</v>
      </c>
      <c r="E137" s="64" t="s">
        <v>75</v>
      </c>
      <c r="F137" s="65">
        <f>WORKDAY(G132,1)</f>
        <v>46188</v>
      </c>
      <c r="G137" s="66">
        <f>WORKDAY(F137,H137-1,)</f>
        <v>46199</v>
      </c>
      <c r="H137" s="64">
        <v>10</v>
      </c>
      <c r="I137" s="64">
        <v>6</v>
      </c>
    </row>
    <row r="138" spans="1:9">
      <c r="A138" s="107" t="s">
        <v>9</v>
      </c>
      <c r="B138" s="107" t="s">
        <v>118</v>
      </c>
      <c r="C138" s="63">
        <v>12</v>
      </c>
      <c r="D138" s="64" t="s">
        <v>77</v>
      </c>
      <c r="E138" s="64" t="s">
        <v>78</v>
      </c>
      <c r="F138" s="65">
        <f>WORKDAY(G132,1)</f>
        <v>46188</v>
      </c>
      <c r="G138" s="66">
        <f t="shared" ref="G138:G160" si="18">WORKDAY(F138,H138-1,)</f>
        <v>46199</v>
      </c>
      <c r="H138" s="64">
        <v>10</v>
      </c>
      <c r="I138" s="64">
        <v>1</v>
      </c>
    </row>
    <row r="139" spans="1:9">
      <c r="A139" s="107" t="s">
        <v>9</v>
      </c>
      <c r="B139" s="107" t="s">
        <v>118</v>
      </c>
      <c r="C139" s="63">
        <v>12</v>
      </c>
      <c r="D139" s="64" t="s">
        <v>80</v>
      </c>
      <c r="E139" s="64" t="s">
        <v>78</v>
      </c>
      <c r="F139" s="65">
        <f>WORKDAY(G132,1)</f>
        <v>46188</v>
      </c>
      <c r="G139" s="66">
        <f t="shared" si="18"/>
        <v>46199</v>
      </c>
      <c r="H139" s="64">
        <v>10</v>
      </c>
      <c r="I139" s="64">
        <v>0</v>
      </c>
    </row>
    <row r="140" spans="1:9">
      <c r="A140" s="107" t="s">
        <v>9</v>
      </c>
      <c r="B140" s="107" t="s">
        <v>118</v>
      </c>
      <c r="C140" s="63">
        <v>12</v>
      </c>
      <c r="D140" s="64" t="s">
        <v>81</v>
      </c>
      <c r="E140" s="64" t="s">
        <v>60</v>
      </c>
      <c r="F140" s="65">
        <f>WORKDAY(G132,1)</f>
        <v>46188</v>
      </c>
      <c r="G140" s="66">
        <f t="shared" si="18"/>
        <v>46199</v>
      </c>
      <c r="H140" s="64">
        <v>10</v>
      </c>
      <c r="I140" s="64">
        <v>4</v>
      </c>
    </row>
    <row r="141" spans="1:9">
      <c r="A141" s="70" t="s">
        <v>9</v>
      </c>
      <c r="B141" s="70" t="s">
        <v>118</v>
      </c>
      <c r="C141" s="69">
        <v>13</v>
      </c>
      <c r="D141" s="70" t="s">
        <v>82</v>
      </c>
      <c r="E141" s="70" t="s">
        <v>83</v>
      </c>
      <c r="F141" s="71">
        <f t="shared" ref="F141" si="19">WORKDAY(G140,1)</f>
        <v>46202</v>
      </c>
      <c r="G141" s="71">
        <f t="shared" si="18"/>
        <v>46213</v>
      </c>
      <c r="H141" s="70">
        <v>10</v>
      </c>
      <c r="I141" s="70">
        <v>4</v>
      </c>
    </row>
    <row r="142" spans="1:9">
      <c r="A142" s="77" t="s">
        <v>9</v>
      </c>
      <c r="B142" s="77" t="s">
        <v>118</v>
      </c>
      <c r="C142" s="74">
        <v>14</v>
      </c>
      <c r="D142" s="75" t="s">
        <v>85</v>
      </c>
      <c r="E142" s="75" t="s">
        <v>51</v>
      </c>
      <c r="F142" s="76">
        <f>WORKDAY(G141,-1)</f>
        <v>46212</v>
      </c>
      <c r="G142" s="44">
        <f t="shared" si="18"/>
        <v>46216</v>
      </c>
      <c r="H142" s="75">
        <v>3</v>
      </c>
      <c r="I142" s="75">
        <v>12</v>
      </c>
    </row>
    <row r="143" spans="1:9">
      <c r="A143" s="77" t="s">
        <v>9</v>
      </c>
      <c r="B143" s="77" t="s">
        <v>118</v>
      </c>
      <c r="C143" s="74">
        <v>14</v>
      </c>
      <c r="D143" s="75" t="s">
        <v>86</v>
      </c>
      <c r="E143" s="75" t="s">
        <v>60</v>
      </c>
      <c r="F143" s="76">
        <f>WORKDAY(G141,1)</f>
        <v>46216</v>
      </c>
      <c r="G143" s="44">
        <f t="shared" si="18"/>
        <v>46227</v>
      </c>
      <c r="H143" s="75">
        <v>10</v>
      </c>
      <c r="I143" s="75">
        <v>0</v>
      </c>
    </row>
    <row r="144" spans="1:9">
      <c r="A144" s="78" t="s">
        <v>9</v>
      </c>
      <c r="B144" s="78" t="s">
        <v>118</v>
      </c>
      <c r="C144" s="80">
        <v>14</v>
      </c>
      <c r="D144" s="79" t="s">
        <v>87</v>
      </c>
      <c r="E144" s="79" t="s">
        <v>88</v>
      </c>
      <c r="F144" s="81">
        <f>WORKDAY(F142,4)</f>
        <v>46218</v>
      </c>
      <c r="G144" s="82">
        <f t="shared" si="18"/>
        <v>46231</v>
      </c>
      <c r="H144" s="79">
        <v>10</v>
      </c>
      <c r="I144" s="79">
        <v>4</v>
      </c>
    </row>
    <row r="145" spans="1:9">
      <c r="A145" s="83" t="s">
        <v>9</v>
      </c>
      <c r="B145" s="114" t="s">
        <v>118</v>
      </c>
      <c r="C145" s="84">
        <v>15</v>
      </c>
      <c r="D145" s="83" t="s">
        <v>89</v>
      </c>
      <c r="E145" s="83" t="s">
        <v>43</v>
      </c>
      <c r="F145" s="85">
        <f>WORKDAY(F144,3)</f>
        <v>46223</v>
      </c>
      <c r="G145" s="85">
        <f t="shared" si="18"/>
        <v>46234</v>
      </c>
      <c r="H145" s="83">
        <v>10</v>
      </c>
      <c r="I145" s="127">
        <v>1</v>
      </c>
    </row>
    <row r="146" spans="1:9">
      <c r="A146" s="83" t="s">
        <v>9</v>
      </c>
      <c r="B146" s="114" t="s">
        <v>118</v>
      </c>
      <c r="C146" s="84">
        <v>15</v>
      </c>
      <c r="D146" s="83" t="s">
        <v>91</v>
      </c>
      <c r="E146" s="83" t="s">
        <v>43</v>
      </c>
      <c r="F146" s="85">
        <f>WORKDAY(F144,3)</f>
        <v>46223</v>
      </c>
      <c r="G146" s="85">
        <f t="shared" si="18"/>
        <v>46234</v>
      </c>
      <c r="H146" s="83">
        <v>10</v>
      </c>
      <c r="I146" s="127"/>
    </row>
    <row r="147" spans="1:9">
      <c r="A147" s="83" t="s">
        <v>9</v>
      </c>
      <c r="B147" s="114" t="s">
        <v>118</v>
      </c>
      <c r="C147" s="84">
        <v>15</v>
      </c>
      <c r="D147" s="83" t="s">
        <v>92</v>
      </c>
      <c r="E147" s="83" t="s">
        <v>14</v>
      </c>
      <c r="F147" s="85">
        <f>WORKDAY(F144,3)</f>
        <v>46223</v>
      </c>
      <c r="G147" s="85">
        <f t="shared" si="18"/>
        <v>46234</v>
      </c>
      <c r="H147" s="83">
        <v>10</v>
      </c>
      <c r="I147" s="127"/>
    </row>
    <row r="148" spans="1:9">
      <c r="A148" s="83" t="s">
        <v>9</v>
      </c>
      <c r="B148" s="114" t="s">
        <v>118</v>
      </c>
      <c r="C148" s="84">
        <v>15</v>
      </c>
      <c r="D148" s="83" t="s">
        <v>93</v>
      </c>
      <c r="E148" s="83" t="s">
        <v>43</v>
      </c>
      <c r="F148" s="85">
        <f>WORKDAY(F144,3)</f>
        <v>46223</v>
      </c>
      <c r="G148" s="85">
        <f t="shared" si="18"/>
        <v>46234</v>
      </c>
      <c r="H148" s="83">
        <v>10</v>
      </c>
      <c r="I148" s="127"/>
    </row>
    <row r="149" spans="1:9">
      <c r="A149" s="83" t="s">
        <v>9</v>
      </c>
      <c r="B149" s="114" t="s">
        <v>118</v>
      </c>
      <c r="C149" s="84">
        <v>15</v>
      </c>
      <c r="D149" s="83" t="s">
        <v>94</v>
      </c>
      <c r="E149" s="83" t="s">
        <v>14</v>
      </c>
      <c r="F149" s="85">
        <f>WORKDAY(F144,3)</f>
        <v>46223</v>
      </c>
      <c r="G149" s="85">
        <f t="shared" si="18"/>
        <v>46234</v>
      </c>
      <c r="H149" s="83">
        <v>10</v>
      </c>
      <c r="I149" s="83">
        <v>1</v>
      </c>
    </row>
    <row r="150" spans="1:9">
      <c r="A150" s="86" t="s">
        <v>9</v>
      </c>
      <c r="B150" s="116" t="s">
        <v>118</v>
      </c>
      <c r="C150" s="87"/>
      <c r="D150" s="86" t="s">
        <v>95</v>
      </c>
      <c r="E150" s="86" t="s">
        <v>41</v>
      </c>
      <c r="F150" s="88">
        <f>WORKDAY(F149,3)</f>
        <v>46226</v>
      </c>
      <c r="G150" s="88">
        <f t="shared" si="18"/>
        <v>46234</v>
      </c>
      <c r="H150" s="86">
        <v>7</v>
      </c>
      <c r="I150" s="86">
        <v>0</v>
      </c>
    </row>
    <row r="151" spans="1:9">
      <c r="A151" s="89" t="s">
        <v>9</v>
      </c>
      <c r="B151" s="89" t="s">
        <v>118</v>
      </c>
      <c r="C151" s="90">
        <v>16</v>
      </c>
      <c r="D151" s="89" t="s">
        <v>96</v>
      </c>
      <c r="E151" s="89" t="s">
        <v>97</v>
      </c>
      <c r="F151" s="91">
        <f>WORKDAY(F150,2)</f>
        <v>46230</v>
      </c>
      <c r="G151" s="91">
        <f t="shared" si="18"/>
        <v>46241</v>
      </c>
      <c r="H151" s="89">
        <v>10</v>
      </c>
      <c r="I151" s="89">
        <v>2</v>
      </c>
    </row>
    <row r="152" spans="1:9">
      <c r="A152" s="89" t="s">
        <v>9</v>
      </c>
      <c r="B152" s="89" t="s">
        <v>118</v>
      </c>
      <c r="C152" s="90">
        <v>16</v>
      </c>
      <c r="D152" s="89" t="s">
        <v>98</v>
      </c>
      <c r="E152" s="89" t="s">
        <v>99</v>
      </c>
      <c r="F152" s="91">
        <f>WORKDAY(F150,2)</f>
        <v>46230</v>
      </c>
      <c r="G152" s="91">
        <f t="shared" si="18"/>
        <v>46241</v>
      </c>
      <c r="H152" s="89">
        <v>10</v>
      </c>
      <c r="I152" s="89">
        <v>9</v>
      </c>
    </row>
    <row r="153" spans="1:9">
      <c r="A153" s="89" t="s">
        <v>9</v>
      </c>
      <c r="B153" s="89" t="s">
        <v>118</v>
      </c>
      <c r="C153" s="90">
        <v>16</v>
      </c>
      <c r="D153" s="89" t="s">
        <v>101</v>
      </c>
      <c r="E153" s="89" t="s">
        <v>102</v>
      </c>
      <c r="F153" s="91">
        <f>WORKDAY(F150,2)</f>
        <v>46230</v>
      </c>
      <c r="G153" s="91">
        <f t="shared" si="18"/>
        <v>46241</v>
      </c>
      <c r="H153" s="89">
        <v>10</v>
      </c>
      <c r="I153" s="89">
        <v>0</v>
      </c>
    </row>
    <row r="154" spans="1:9">
      <c r="A154" s="38" t="s">
        <v>9</v>
      </c>
      <c r="B154" s="38" t="s">
        <v>118</v>
      </c>
      <c r="C154" s="92">
        <v>17</v>
      </c>
      <c r="D154" s="38" t="s">
        <v>103</v>
      </c>
      <c r="E154" s="38" t="s">
        <v>104</v>
      </c>
      <c r="F154" s="93">
        <f>WORKDAY(G152,-4)</f>
        <v>46237</v>
      </c>
      <c r="G154" s="93">
        <f t="shared" si="18"/>
        <v>46239</v>
      </c>
      <c r="H154" s="38">
        <v>3</v>
      </c>
      <c r="I154" s="38">
        <v>0</v>
      </c>
    </row>
    <row r="155" spans="1:9">
      <c r="A155" s="38" t="s">
        <v>9</v>
      </c>
      <c r="B155" s="38" t="s">
        <v>118</v>
      </c>
      <c r="C155" s="92">
        <v>17</v>
      </c>
      <c r="D155" s="38" t="s">
        <v>106</v>
      </c>
      <c r="E155" s="38" t="s">
        <v>22</v>
      </c>
      <c r="F155" s="93">
        <f>WORKDAY(G152,-4)</f>
        <v>46237</v>
      </c>
      <c r="G155" s="93">
        <f t="shared" si="18"/>
        <v>46248</v>
      </c>
      <c r="H155" s="38">
        <v>10</v>
      </c>
      <c r="I155" s="38">
        <v>10</v>
      </c>
    </row>
    <row r="156" spans="1:9">
      <c r="A156" s="38" t="s">
        <v>9</v>
      </c>
      <c r="B156" s="38" t="s">
        <v>118</v>
      </c>
      <c r="C156" s="92">
        <v>17</v>
      </c>
      <c r="D156" s="38" t="s">
        <v>108</v>
      </c>
      <c r="E156" s="38" t="s">
        <v>97</v>
      </c>
      <c r="F156" s="93">
        <f>WORKDAY(G152,-4)</f>
        <v>46237</v>
      </c>
      <c r="G156" s="93">
        <f t="shared" si="18"/>
        <v>46248</v>
      </c>
      <c r="H156" s="38">
        <v>10</v>
      </c>
      <c r="I156" s="38">
        <v>6</v>
      </c>
    </row>
    <row r="157" spans="1:9" s="118" customFormat="1">
      <c r="A157" s="94" t="s">
        <v>9</v>
      </c>
      <c r="B157" s="94" t="s">
        <v>118</v>
      </c>
      <c r="C157" s="95">
        <v>18</v>
      </c>
      <c r="D157" s="96" t="s">
        <v>109</v>
      </c>
      <c r="E157" s="96" t="s">
        <v>110</v>
      </c>
      <c r="F157" s="97">
        <f>WORKDAY(G152,1)</f>
        <v>46244</v>
      </c>
      <c r="G157" s="97">
        <f t="shared" si="18"/>
        <v>46255</v>
      </c>
      <c r="H157" s="94">
        <v>10</v>
      </c>
      <c r="I157" s="94">
        <v>0</v>
      </c>
    </row>
    <row r="158" spans="1:9">
      <c r="A158" s="94" t="s">
        <v>9</v>
      </c>
      <c r="B158" s="94" t="s">
        <v>118</v>
      </c>
      <c r="C158" s="95">
        <v>18</v>
      </c>
      <c r="D158" s="96" t="s">
        <v>112</v>
      </c>
      <c r="E158" s="96" t="s">
        <v>102</v>
      </c>
      <c r="F158" s="97">
        <f>WORKDAY(G152,1)</f>
        <v>46244</v>
      </c>
      <c r="G158" s="97">
        <f t="shared" si="18"/>
        <v>46255</v>
      </c>
      <c r="H158" s="94">
        <v>10</v>
      </c>
      <c r="I158" s="94">
        <v>0</v>
      </c>
    </row>
    <row r="159" spans="1:9">
      <c r="A159" s="77" t="s">
        <v>9</v>
      </c>
      <c r="B159" s="77" t="s">
        <v>118</v>
      </c>
      <c r="C159" s="98">
        <v>18</v>
      </c>
      <c r="D159" s="77" t="s">
        <v>113</v>
      </c>
      <c r="E159" s="77" t="s">
        <v>114</v>
      </c>
      <c r="F159" s="44">
        <f>WORKDAY(G157,-4)</f>
        <v>46251</v>
      </c>
      <c r="G159" s="44">
        <f t="shared" si="18"/>
        <v>46255</v>
      </c>
      <c r="H159" s="77">
        <v>5</v>
      </c>
      <c r="I159" s="77">
        <v>1</v>
      </c>
    </row>
    <row r="160" spans="1:9">
      <c r="A160" s="77" t="s">
        <v>9</v>
      </c>
      <c r="B160" s="77" t="s">
        <v>118</v>
      </c>
      <c r="C160" s="98">
        <v>18</v>
      </c>
      <c r="D160" s="77" t="s">
        <v>116</v>
      </c>
      <c r="E160" s="77" t="s">
        <v>60</v>
      </c>
      <c r="F160" s="44">
        <f>WORKDAY(G157,-4)</f>
        <v>46251</v>
      </c>
      <c r="G160" s="44">
        <f t="shared" si="18"/>
        <v>46255</v>
      </c>
      <c r="H160" s="77">
        <v>5</v>
      </c>
      <c r="I160" s="77">
        <v>0</v>
      </c>
    </row>
    <row r="161" spans="1:9">
      <c r="A161" s="99" t="s">
        <v>9</v>
      </c>
      <c r="B161" s="99" t="s">
        <v>119</v>
      </c>
      <c r="C161" s="100">
        <v>2</v>
      </c>
      <c r="D161" s="6" t="s">
        <v>11</v>
      </c>
      <c r="E161" s="6" t="s">
        <v>12</v>
      </c>
      <c r="F161" s="8">
        <f>WORKDAY(G110,1)</f>
        <v>46097</v>
      </c>
      <c r="G161" s="8">
        <f>WORKDAY(F161,H161-1,)</f>
        <v>46108</v>
      </c>
      <c r="H161" s="6">
        <v>10</v>
      </c>
      <c r="I161" s="6">
        <v>0</v>
      </c>
    </row>
    <row r="162" spans="1:9">
      <c r="A162" s="99" t="s">
        <v>9</v>
      </c>
      <c r="B162" s="99" t="s">
        <v>119</v>
      </c>
      <c r="C162" s="100">
        <v>2</v>
      </c>
      <c r="D162" s="6" t="s">
        <v>13</v>
      </c>
      <c r="E162" s="6" t="s">
        <v>14</v>
      </c>
      <c r="F162" s="8">
        <f>WORKDAY(G110,1)</f>
        <v>46097</v>
      </c>
      <c r="G162" s="8">
        <f t="shared" ref="G162" si="20">WORKDAY(F162,H162-1,)</f>
        <v>46108</v>
      </c>
      <c r="H162" s="6">
        <v>10</v>
      </c>
      <c r="I162" s="6">
        <v>0</v>
      </c>
    </row>
    <row r="163" spans="1:9">
      <c r="A163" s="99" t="s">
        <v>9</v>
      </c>
      <c r="B163" s="99" t="s">
        <v>119</v>
      </c>
      <c r="C163" s="100">
        <v>2</v>
      </c>
      <c r="D163" s="6" t="s">
        <v>15</v>
      </c>
      <c r="E163" s="6" t="s">
        <v>14</v>
      </c>
      <c r="F163" s="8">
        <f>WORKDAY(G109,1)</f>
        <v>46097</v>
      </c>
      <c r="G163" s="8">
        <f>WORKDAY(F163,H163-1,)</f>
        <v>46108</v>
      </c>
      <c r="H163" s="6">
        <v>10</v>
      </c>
      <c r="I163" s="6">
        <v>0</v>
      </c>
    </row>
    <row r="164" spans="1:9">
      <c r="A164" s="99" t="s">
        <v>9</v>
      </c>
      <c r="B164" s="99" t="s">
        <v>119</v>
      </c>
      <c r="C164" s="100">
        <v>2</v>
      </c>
      <c r="D164" s="6" t="s">
        <v>120</v>
      </c>
      <c r="E164" s="6"/>
      <c r="F164" s="8">
        <f>WORKDAY(G110,1)</f>
        <v>46097</v>
      </c>
      <c r="G164" s="8">
        <f>WORKDAY(F164,H164-1,)</f>
        <v>46108</v>
      </c>
      <c r="H164" s="6">
        <v>10</v>
      </c>
      <c r="I164" s="6">
        <v>0</v>
      </c>
    </row>
    <row r="165" spans="1:9">
      <c r="A165" s="11" t="s">
        <v>9</v>
      </c>
      <c r="B165" s="101" t="s">
        <v>119</v>
      </c>
      <c r="C165" s="10">
        <v>3</v>
      </c>
      <c r="D165" s="11" t="s">
        <v>16</v>
      </c>
      <c r="E165" s="11" t="s">
        <v>17</v>
      </c>
      <c r="F165" s="12">
        <f>WORKDAY(G164,-4)</f>
        <v>46104</v>
      </c>
      <c r="G165" s="12">
        <f t="shared" ref="G165:G172" si="21">WORKDAY(F165,H165-1,)</f>
        <v>46115</v>
      </c>
      <c r="H165" s="11">
        <v>10</v>
      </c>
      <c r="I165" s="11">
        <v>0</v>
      </c>
    </row>
    <row r="166" spans="1:9">
      <c r="A166" s="11" t="s">
        <v>9</v>
      </c>
      <c r="B166" s="101" t="s">
        <v>119</v>
      </c>
      <c r="C166" s="10">
        <v>3</v>
      </c>
      <c r="D166" s="11" t="s">
        <v>18</v>
      </c>
      <c r="E166" s="11" t="s">
        <v>19</v>
      </c>
      <c r="F166" s="12">
        <f>WORKDAY(G164,-4)</f>
        <v>46104</v>
      </c>
      <c r="G166" s="12">
        <f t="shared" si="21"/>
        <v>46115</v>
      </c>
      <c r="H166" s="11">
        <v>10</v>
      </c>
      <c r="I166" s="13">
        <v>0</v>
      </c>
    </row>
    <row r="167" spans="1:9">
      <c r="A167" s="11" t="s">
        <v>9</v>
      </c>
      <c r="B167" s="101" t="s">
        <v>119</v>
      </c>
      <c r="C167" s="10">
        <v>3</v>
      </c>
      <c r="D167" s="11" t="s">
        <v>21</v>
      </c>
      <c r="E167" s="11" t="s">
        <v>22</v>
      </c>
      <c r="F167" s="12">
        <f>WORKDAY(G164,-4)</f>
        <v>46104</v>
      </c>
      <c r="G167" s="12">
        <f t="shared" si="21"/>
        <v>46115</v>
      </c>
      <c r="H167" s="11">
        <v>10</v>
      </c>
      <c r="I167" s="11">
        <v>3</v>
      </c>
    </row>
    <row r="168" spans="1:9">
      <c r="A168" s="11" t="s">
        <v>9</v>
      </c>
      <c r="B168" s="101" t="s">
        <v>119</v>
      </c>
      <c r="C168" s="10">
        <v>3</v>
      </c>
      <c r="D168" s="11" t="s">
        <v>24</v>
      </c>
      <c r="E168" s="11" t="s">
        <v>25</v>
      </c>
      <c r="F168" s="12">
        <f>WORKDAY(G164,-4)</f>
        <v>46104</v>
      </c>
      <c r="G168" s="12">
        <f t="shared" si="21"/>
        <v>46115</v>
      </c>
      <c r="H168" s="11">
        <v>10</v>
      </c>
      <c r="I168" s="11">
        <v>0</v>
      </c>
    </row>
    <row r="169" spans="1:9">
      <c r="A169" s="17" t="s">
        <v>9</v>
      </c>
      <c r="B169" s="103" t="s">
        <v>119</v>
      </c>
      <c r="C169" s="16">
        <v>4</v>
      </c>
      <c r="D169" s="17" t="s">
        <v>26</v>
      </c>
      <c r="E169" s="17" t="s">
        <v>27</v>
      </c>
      <c r="F169" s="18">
        <f>WORKDAY(G168,-4)</f>
        <v>46111</v>
      </c>
      <c r="G169" s="18">
        <f t="shared" si="21"/>
        <v>46122</v>
      </c>
      <c r="H169" s="17">
        <v>10</v>
      </c>
      <c r="I169" s="17">
        <v>2</v>
      </c>
    </row>
    <row r="170" spans="1:9">
      <c r="A170" s="21" t="s">
        <v>9</v>
      </c>
      <c r="B170" s="21" t="s">
        <v>119</v>
      </c>
      <c r="C170" s="20">
        <v>5</v>
      </c>
      <c r="D170" s="21" t="s">
        <v>29</v>
      </c>
      <c r="E170" s="21" t="s">
        <v>30</v>
      </c>
      <c r="F170" s="22">
        <f>WORKDAY(F169,5)</f>
        <v>46118</v>
      </c>
      <c r="G170" s="22">
        <f t="shared" si="21"/>
        <v>46122</v>
      </c>
      <c r="H170" s="21">
        <v>5</v>
      </c>
      <c r="I170" s="21">
        <v>4</v>
      </c>
    </row>
    <row r="171" spans="1:9">
      <c r="A171" s="21" t="s">
        <v>9</v>
      </c>
      <c r="B171" s="21" t="s">
        <v>119</v>
      </c>
      <c r="C171" s="20">
        <v>5</v>
      </c>
      <c r="D171" s="21" t="s">
        <v>32</v>
      </c>
      <c r="E171" s="21" t="s">
        <v>30</v>
      </c>
      <c r="F171" s="22">
        <f>WORKDAY(G169,1)</f>
        <v>46125</v>
      </c>
      <c r="G171" s="22">
        <f t="shared" si="21"/>
        <v>46129</v>
      </c>
      <c r="H171" s="21">
        <v>5</v>
      </c>
      <c r="I171" s="21">
        <v>0</v>
      </c>
    </row>
    <row r="172" spans="1:9">
      <c r="A172" s="21" t="s">
        <v>9</v>
      </c>
      <c r="B172" s="21" t="s">
        <v>119</v>
      </c>
      <c r="C172" s="20">
        <v>5</v>
      </c>
      <c r="D172" s="21" t="s">
        <v>34</v>
      </c>
      <c r="E172" s="21" t="s">
        <v>35</v>
      </c>
      <c r="F172" s="22">
        <f>WORKDAY(G166,1)</f>
        <v>46118</v>
      </c>
      <c r="G172" s="22">
        <f t="shared" si="21"/>
        <v>46129</v>
      </c>
      <c r="H172" s="21">
        <v>10</v>
      </c>
      <c r="I172" s="21">
        <v>1</v>
      </c>
    </row>
    <row r="173" spans="1:9">
      <c r="A173" s="31" t="s">
        <v>9</v>
      </c>
      <c r="B173" s="31" t="s">
        <v>119</v>
      </c>
      <c r="C173" s="30">
        <v>6</v>
      </c>
      <c r="D173" s="31" t="s">
        <v>37</v>
      </c>
      <c r="E173" s="31" t="s">
        <v>38</v>
      </c>
      <c r="F173" s="32">
        <f>WORKDAY(G172,1)</f>
        <v>46132</v>
      </c>
      <c r="G173" s="32">
        <f>WORKDAY(F173,H173-1,)</f>
        <v>46143</v>
      </c>
      <c r="H173" s="31">
        <v>10</v>
      </c>
      <c r="I173" s="128">
        <v>2</v>
      </c>
    </row>
    <row r="174" spans="1:9">
      <c r="A174" s="31" t="s">
        <v>9</v>
      </c>
      <c r="B174" s="31" t="s">
        <v>119</v>
      </c>
      <c r="C174" s="30">
        <v>6</v>
      </c>
      <c r="D174" s="31" t="s">
        <v>40</v>
      </c>
      <c r="E174" s="31" t="s">
        <v>41</v>
      </c>
      <c r="F174" s="32">
        <f>WORKDAY(G172,1)</f>
        <v>46132</v>
      </c>
      <c r="G174" s="32">
        <f t="shared" ref="G174:G186" si="22">WORKDAY(F174,H174-1,)</f>
        <v>46143</v>
      </c>
      <c r="H174" s="31">
        <v>10</v>
      </c>
      <c r="I174" s="128"/>
    </row>
    <row r="175" spans="1:9">
      <c r="A175" s="31" t="s">
        <v>9</v>
      </c>
      <c r="B175" s="31" t="s">
        <v>119</v>
      </c>
      <c r="C175" s="30">
        <v>6</v>
      </c>
      <c r="D175" s="31" t="s">
        <v>42</v>
      </c>
      <c r="E175" s="31" t="s">
        <v>43</v>
      </c>
      <c r="F175" s="32">
        <f>WORKDAY(G172,1)</f>
        <v>46132</v>
      </c>
      <c r="G175" s="32">
        <f t="shared" si="22"/>
        <v>46143</v>
      </c>
      <c r="H175" s="31">
        <v>10</v>
      </c>
      <c r="I175" s="128"/>
    </row>
    <row r="176" spans="1:9">
      <c r="A176" s="31" t="s">
        <v>9</v>
      </c>
      <c r="B176" s="31" t="s">
        <v>119</v>
      </c>
      <c r="C176" s="30">
        <v>6</v>
      </c>
      <c r="D176" s="31" t="s">
        <v>44</v>
      </c>
      <c r="E176" s="31" t="s">
        <v>43</v>
      </c>
      <c r="F176" s="32">
        <f>WORKDAY(G172,1)</f>
        <v>46132</v>
      </c>
      <c r="G176" s="32">
        <f t="shared" si="22"/>
        <v>46143</v>
      </c>
      <c r="H176" s="31">
        <v>10</v>
      </c>
      <c r="I176" s="128"/>
    </row>
    <row r="177" spans="1:9">
      <c r="A177" s="31" t="s">
        <v>9</v>
      </c>
      <c r="B177" s="31" t="s">
        <v>119</v>
      </c>
      <c r="C177" s="34">
        <v>6</v>
      </c>
      <c r="D177" s="31" t="s">
        <v>45</v>
      </c>
      <c r="E177" s="31" t="s">
        <v>22</v>
      </c>
      <c r="F177" s="32">
        <f>WORKDAY(G172,1)</f>
        <v>46132</v>
      </c>
      <c r="G177" s="32">
        <f t="shared" si="22"/>
        <v>46143</v>
      </c>
      <c r="H177" s="31">
        <v>10</v>
      </c>
      <c r="I177" s="31">
        <v>5</v>
      </c>
    </row>
    <row r="178" spans="1:9">
      <c r="A178" s="25" t="s">
        <v>9</v>
      </c>
      <c r="B178" s="25" t="s">
        <v>119</v>
      </c>
      <c r="C178" s="37">
        <v>7</v>
      </c>
      <c r="D178" s="26" t="s">
        <v>47</v>
      </c>
      <c r="E178" s="26" t="s">
        <v>48</v>
      </c>
      <c r="F178" s="27">
        <f>WORKDAY(G177,-4)</f>
        <v>46139</v>
      </c>
      <c r="G178" s="28">
        <f t="shared" si="22"/>
        <v>46150</v>
      </c>
      <c r="H178" s="26">
        <v>10</v>
      </c>
      <c r="I178" s="26">
        <v>8</v>
      </c>
    </row>
    <row r="179" spans="1:9">
      <c r="A179" s="77" t="s">
        <v>9</v>
      </c>
      <c r="B179" s="77" t="s">
        <v>119</v>
      </c>
      <c r="C179" s="41">
        <v>7</v>
      </c>
      <c r="D179" s="42" t="s">
        <v>50</v>
      </c>
      <c r="E179" s="42" t="s">
        <v>51</v>
      </c>
      <c r="F179" s="43">
        <f>WORKDAY(G177,1)</f>
        <v>46146</v>
      </c>
      <c r="G179" s="44">
        <f t="shared" si="22"/>
        <v>46146</v>
      </c>
      <c r="H179" s="42">
        <v>1</v>
      </c>
      <c r="I179" s="42">
        <v>0</v>
      </c>
    </row>
    <row r="180" spans="1:9">
      <c r="A180" s="21" t="s">
        <v>9</v>
      </c>
      <c r="B180" s="21" t="s">
        <v>119</v>
      </c>
      <c r="C180" s="46">
        <v>8</v>
      </c>
      <c r="D180" s="47" t="s">
        <v>52</v>
      </c>
      <c r="E180" s="47" t="s">
        <v>53</v>
      </c>
      <c r="F180" s="48">
        <f>WORKDAY(G178,1)</f>
        <v>46153</v>
      </c>
      <c r="G180" s="22">
        <f t="shared" si="22"/>
        <v>46164</v>
      </c>
      <c r="H180" s="47">
        <v>10</v>
      </c>
      <c r="I180" s="47">
        <v>5</v>
      </c>
    </row>
    <row r="181" spans="1:9">
      <c r="A181" s="21" t="s">
        <v>9</v>
      </c>
      <c r="B181" s="21" t="s">
        <v>119</v>
      </c>
      <c r="C181" s="46">
        <v>8</v>
      </c>
      <c r="D181" s="49" t="s">
        <v>55</v>
      </c>
      <c r="E181" s="47" t="s">
        <v>53</v>
      </c>
      <c r="F181" s="48">
        <f>WORKDAY(G178,1)</f>
        <v>46153</v>
      </c>
      <c r="G181" s="22">
        <f t="shared" si="22"/>
        <v>46164</v>
      </c>
      <c r="H181" s="47">
        <v>10</v>
      </c>
      <c r="I181" s="47">
        <v>0</v>
      </c>
    </row>
    <row r="182" spans="1:9">
      <c r="A182" s="52" t="s">
        <v>9</v>
      </c>
      <c r="B182" s="110" t="s">
        <v>119</v>
      </c>
      <c r="C182" s="51">
        <v>9</v>
      </c>
      <c r="D182" s="52" t="s">
        <v>56</v>
      </c>
      <c r="E182" s="52" t="s">
        <v>57</v>
      </c>
      <c r="F182" s="53">
        <f t="shared" ref="F182" si="23">WORKDAY(G181,1)</f>
        <v>46167</v>
      </c>
      <c r="G182" s="53">
        <f t="shared" si="22"/>
        <v>46178</v>
      </c>
      <c r="H182" s="52">
        <v>10</v>
      </c>
      <c r="I182" s="52">
        <v>4</v>
      </c>
    </row>
    <row r="183" spans="1:9">
      <c r="A183" s="52" t="s">
        <v>9</v>
      </c>
      <c r="B183" s="110" t="s">
        <v>119</v>
      </c>
      <c r="C183" s="51">
        <v>9</v>
      </c>
      <c r="D183" s="52" t="s">
        <v>59</v>
      </c>
      <c r="E183" s="52" t="s">
        <v>60</v>
      </c>
      <c r="F183" s="53">
        <f>WORKDAY(G181,1)</f>
        <v>46167</v>
      </c>
      <c r="G183" s="53">
        <f t="shared" si="22"/>
        <v>46167</v>
      </c>
      <c r="H183" s="52">
        <v>1</v>
      </c>
      <c r="I183" s="52">
        <v>0</v>
      </c>
    </row>
    <row r="184" spans="1:9">
      <c r="A184" s="56" t="s">
        <v>9</v>
      </c>
      <c r="B184" s="112" t="s">
        <v>119</v>
      </c>
      <c r="C184" s="55">
        <v>10</v>
      </c>
      <c r="D184" s="56" t="s">
        <v>62</v>
      </c>
      <c r="E184" s="56" t="s">
        <v>63</v>
      </c>
      <c r="F184" s="57">
        <f>WORKDAY(G182,-4)</f>
        <v>46174</v>
      </c>
      <c r="G184" s="57">
        <f t="shared" si="22"/>
        <v>46185</v>
      </c>
      <c r="H184" s="56">
        <v>10</v>
      </c>
      <c r="I184" s="56">
        <v>0</v>
      </c>
    </row>
    <row r="185" spans="1:9">
      <c r="A185" s="56" t="s">
        <v>9</v>
      </c>
      <c r="B185" s="112" t="s">
        <v>119</v>
      </c>
      <c r="C185" s="55">
        <v>10</v>
      </c>
      <c r="D185" s="56" t="s">
        <v>64</v>
      </c>
      <c r="E185" s="56" t="s">
        <v>60</v>
      </c>
      <c r="F185" s="57">
        <f>WORKDAY(F184,1)</f>
        <v>46175</v>
      </c>
      <c r="G185" s="57">
        <f t="shared" si="22"/>
        <v>46185</v>
      </c>
      <c r="H185" s="56">
        <v>9</v>
      </c>
      <c r="I185" s="56">
        <v>0</v>
      </c>
    </row>
    <row r="186" spans="1:9">
      <c r="A186" s="31" t="s">
        <v>9</v>
      </c>
      <c r="B186" s="31" t="s">
        <v>119</v>
      </c>
      <c r="C186" s="34">
        <v>11</v>
      </c>
      <c r="D186" s="58" t="s">
        <v>65</v>
      </c>
      <c r="E186" s="58" t="s">
        <v>66</v>
      </c>
      <c r="F186" s="59">
        <f>WORKDAY(G184,1)</f>
        <v>46188</v>
      </c>
      <c r="G186" s="32">
        <f t="shared" si="22"/>
        <v>46199</v>
      </c>
      <c r="H186" s="58">
        <v>10</v>
      </c>
      <c r="I186" s="58">
        <v>2</v>
      </c>
    </row>
    <row r="187" spans="1:9">
      <c r="A187" s="106" t="s">
        <v>9</v>
      </c>
      <c r="B187" s="107" t="s">
        <v>119</v>
      </c>
      <c r="C187" s="63">
        <v>12</v>
      </c>
      <c r="D187" s="64" t="s">
        <v>68</v>
      </c>
      <c r="E187" s="64" t="s">
        <v>69</v>
      </c>
      <c r="F187" s="65">
        <f>WORKDAY(G186,1)</f>
        <v>46202</v>
      </c>
      <c r="G187" s="65">
        <f>WORKDAY(F187,H187-1,)</f>
        <v>46213</v>
      </c>
      <c r="H187" s="64">
        <v>10</v>
      </c>
      <c r="I187" s="129">
        <v>2</v>
      </c>
    </row>
    <row r="188" spans="1:9">
      <c r="A188" s="106" t="s">
        <v>9</v>
      </c>
      <c r="B188" s="107" t="s">
        <v>119</v>
      </c>
      <c r="C188" s="63">
        <v>12</v>
      </c>
      <c r="D188" s="64" t="s">
        <v>71</v>
      </c>
      <c r="E188" s="64" t="s">
        <v>41</v>
      </c>
      <c r="F188" s="65">
        <f>WORKDAY(G186,1)</f>
        <v>46202</v>
      </c>
      <c r="G188" s="65">
        <f t="shared" ref="G188:G190" si="24">WORKDAY(F187,H187-1,)</f>
        <v>46213</v>
      </c>
      <c r="H188" s="64">
        <v>10</v>
      </c>
      <c r="I188" s="129"/>
    </row>
    <row r="189" spans="1:9">
      <c r="A189" s="106" t="s">
        <v>9</v>
      </c>
      <c r="B189" s="107" t="s">
        <v>119</v>
      </c>
      <c r="C189" s="63">
        <v>12</v>
      </c>
      <c r="D189" s="64" t="s">
        <v>72</v>
      </c>
      <c r="E189" s="64" t="s">
        <v>41</v>
      </c>
      <c r="F189" s="65">
        <f>WORKDAY(G186,1)</f>
        <v>46202</v>
      </c>
      <c r="G189" s="65">
        <f t="shared" si="24"/>
        <v>46213</v>
      </c>
      <c r="H189" s="64">
        <v>10</v>
      </c>
      <c r="I189" s="129"/>
    </row>
    <row r="190" spans="1:9">
      <c r="A190" s="106" t="s">
        <v>9</v>
      </c>
      <c r="B190" s="107" t="s">
        <v>119</v>
      </c>
      <c r="C190" s="63">
        <v>12</v>
      </c>
      <c r="D190" s="64" t="s">
        <v>73</v>
      </c>
      <c r="E190" s="64" t="s">
        <v>43</v>
      </c>
      <c r="F190" s="65">
        <f>WORKDAY(G186,1)</f>
        <v>46202</v>
      </c>
      <c r="G190" s="65">
        <f t="shared" si="24"/>
        <v>46213</v>
      </c>
      <c r="H190" s="64">
        <v>10</v>
      </c>
      <c r="I190" s="129"/>
    </row>
    <row r="191" spans="1:9">
      <c r="A191" s="107" t="s">
        <v>9</v>
      </c>
      <c r="B191" s="107" t="s">
        <v>119</v>
      </c>
      <c r="C191" s="63">
        <v>12</v>
      </c>
      <c r="D191" s="64" t="s">
        <v>74</v>
      </c>
      <c r="E191" s="64" t="s">
        <v>75</v>
      </c>
      <c r="F191" s="65">
        <f>WORKDAY(G186,1)</f>
        <v>46202</v>
      </c>
      <c r="G191" s="66">
        <f>WORKDAY(F191,H191-1,)</f>
        <v>46213</v>
      </c>
      <c r="H191" s="64">
        <v>10</v>
      </c>
      <c r="I191" s="64">
        <v>3</v>
      </c>
    </row>
    <row r="192" spans="1:9">
      <c r="A192" s="107" t="s">
        <v>9</v>
      </c>
      <c r="B192" s="107" t="s">
        <v>119</v>
      </c>
      <c r="C192" s="63">
        <v>12</v>
      </c>
      <c r="D192" s="64" t="s">
        <v>77</v>
      </c>
      <c r="E192" s="64" t="s">
        <v>78</v>
      </c>
      <c r="F192" s="65">
        <f>WORKDAY(G186,1)</f>
        <v>46202</v>
      </c>
      <c r="G192" s="66">
        <f t="shared" ref="G192:G214" si="25">WORKDAY(F192,H192-1,)</f>
        <v>46213</v>
      </c>
      <c r="H192" s="64">
        <v>10</v>
      </c>
      <c r="I192" s="64">
        <v>0</v>
      </c>
    </row>
    <row r="193" spans="1:10">
      <c r="A193" s="107" t="s">
        <v>9</v>
      </c>
      <c r="B193" s="107" t="s">
        <v>119</v>
      </c>
      <c r="C193" s="63">
        <v>12</v>
      </c>
      <c r="D193" s="64" t="s">
        <v>80</v>
      </c>
      <c r="E193" s="64" t="s">
        <v>78</v>
      </c>
      <c r="F193" s="65">
        <f>WORKDAY(G186,1)</f>
        <v>46202</v>
      </c>
      <c r="G193" s="66">
        <f t="shared" si="25"/>
        <v>46213</v>
      </c>
      <c r="H193" s="64">
        <v>10</v>
      </c>
      <c r="I193" s="64">
        <v>0</v>
      </c>
    </row>
    <row r="194" spans="1:10">
      <c r="A194" s="107" t="s">
        <v>9</v>
      </c>
      <c r="B194" s="107" t="s">
        <v>119</v>
      </c>
      <c r="C194" s="63">
        <v>12</v>
      </c>
      <c r="D194" s="64" t="s">
        <v>81</v>
      </c>
      <c r="E194" s="64" t="s">
        <v>60</v>
      </c>
      <c r="F194" s="65">
        <f>WORKDAY(G186,1)</f>
        <v>46202</v>
      </c>
      <c r="G194" s="66">
        <f t="shared" si="25"/>
        <v>46213</v>
      </c>
      <c r="H194" s="64">
        <v>10</v>
      </c>
      <c r="I194" s="64">
        <v>6</v>
      </c>
    </row>
    <row r="195" spans="1:10">
      <c r="A195" s="70" t="s">
        <v>9</v>
      </c>
      <c r="B195" s="119" t="s">
        <v>119</v>
      </c>
      <c r="C195" s="69">
        <v>13</v>
      </c>
      <c r="D195" s="70" t="s">
        <v>82</v>
      </c>
      <c r="E195" s="70" t="s">
        <v>83</v>
      </c>
      <c r="F195" s="71">
        <f t="shared" ref="F195" si="26">WORKDAY(G194,1)</f>
        <v>46216</v>
      </c>
      <c r="G195" s="71">
        <f t="shared" si="25"/>
        <v>46227</v>
      </c>
      <c r="H195" s="70">
        <v>10</v>
      </c>
      <c r="I195" s="70">
        <v>4</v>
      </c>
    </row>
    <row r="196" spans="1:10">
      <c r="A196" s="77" t="s">
        <v>9</v>
      </c>
      <c r="B196" s="77" t="s">
        <v>119</v>
      </c>
      <c r="C196" s="74">
        <v>14</v>
      </c>
      <c r="D196" s="75" t="s">
        <v>85</v>
      </c>
      <c r="E196" s="75" t="s">
        <v>51</v>
      </c>
      <c r="F196" s="76">
        <f>WORKDAY(G195,-1)</f>
        <v>46226</v>
      </c>
      <c r="G196" s="44">
        <f t="shared" si="25"/>
        <v>46230</v>
      </c>
      <c r="H196" s="75">
        <v>3</v>
      </c>
      <c r="I196" s="75">
        <v>6</v>
      </c>
      <c r="J196" s="4" t="s">
        <v>121</v>
      </c>
    </row>
    <row r="197" spans="1:10">
      <c r="A197" s="77" t="s">
        <v>9</v>
      </c>
      <c r="B197" s="77" t="s">
        <v>119</v>
      </c>
      <c r="C197" s="74">
        <v>14</v>
      </c>
      <c r="D197" s="75" t="s">
        <v>86</v>
      </c>
      <c r="E197" s="75" t="s">
        <v>60</v>
      </c>
      <c r="F197" s="76">
        <f>WORKDAY(G195,1)</f>
        <v>46230</v>
      </c>
      <c r="G197" s="44">
        <f t="shared" si="25"/>
        <v>46241</v>
      </c>
      <c r="H197" s="75">
        <v>10</v>
      </c>
      <c r="I197" s="75">
        <v>0</v>
      </c>
    </row>
    <row r="198" spans="1:10">
      <c r="A198" s="78" t="s">
        <v>9</v>
      </c>
      <c r="B198" s="78" t="s">
        <v>119</v>
      </c>
      <c r="C198" s="80">
        <v>14</v>
      </c>
      <c r="D198" s="79" t="s">
        <v>87</v>
      </c>
      <c r="E198" s="79" t="s">
        <v>88</v>
      </c>
      <c r="F198" s="81">
        <f>WORKDAY(F196,4)</f>
        <v>46232</v>
      </c>
      <c r="G198" s="82">
        <f t="shared" si="25"/>
        <v>46245</v>
      </c>
      <c r="H198" s="79">
        <v>10</v>
      </c>
      <c r="I198" s="79">
        <v>4</v>
      </c>
    </row>
    <row r="199" spans="1:10">
      <c r="A199" s="83" t="s">
        <v>9</v>
      </c>
      <c r="B199" s="114" t="s">
        <v>119</v>
      </c>
      <c r="C199" s="84">
        <v>15</v>
      </c>
      <c r="D199" s="83" t="s">
        <v>89</v>
      </c>
      <c r="E199" s="83" t="s">
        <v>43</v>
      </c>
      <c r="F199" s="85">
        <f>WORKDAY(F198,3)</f>
        <v>46237</v>
      </c>
      <c r="G199" s="85">
        <f t="shared" si="25"/>
        <v>46248</v>
      </c>
      <c r="H199" s="83">
        <v>10</v>
      </c>
      <c r="I199" s="127">
        <v>0</v>
      </c>
    </row>
    <row r="200" spans="1:10">
      <c r="A200" s="83" t="s">
        <v>9</v>
      </c>
      <c r="B200" s="114" t="s">
        <v>119</v>
      </c>
      <c r="C200" s="84">
        <v>15</v>
      </c>
      <c r="D200" s="83" t="s">
        <v>91</v>
      </c>
      <c r="E200" s="83" t="s">
        <v>43</v>
      </c>
      <c r="F200" s="85">
        <f>WORKDAY(F198,3)</f>
        <v>46237</v>
      </c>
      <c r="G200" s="85">
        <f t="shared" si="25"/>
        <v>46248</v>
      </c>
      <c r="H200" s="83">
        <v>10</v>
      </c>
      <c r="I200" s="127"/>
    </row>
    <row r="201" spans="1:10">
      <c r="A201" s="83" t="s">
        <v>9</v>
      </c>
      <c r="B201" s="114" t="s">
        <v>119</v>
      </c>
      <c r="C201" s="84">
        <v>15</v>
      </c>
      <c r="D201" s="83" t="s">
        <v>92</v>
      </c>
      <c r="E201" s="83" t="s">
        <v>14</v>
      </c>
      <c r="F201" s="85">
        <f>WORKDAY(F198,3)</f>
        <v>46237</v>
      </c>
      <c r="G201" s="85">
        <f t="shared" si="25"/>
        <v>46248</v>
      </c>
      <c r="H201" s="83">
        <v>10</v>
      </c>
      <c r="I201" s="127"/>
    </row>
    <row r="202" spans="1:10">
      <c r="A202" s="83" t="s">
        <v>9</v>
      </c>
      <c r="B202" s="114" t="s">
        <v>119</v>
      </c>
      <c r="C202" s="84">
        <v>15</v>
      </c>
      <c r="D202" s="83" t="s">
        <v>93</v>
      </c>
      <c r="E202" s="83" t="s">
        <v>43</v>
      </c>
      <c r="F202" s="85">
        <f>WORKDAY(F198,3)</f>
        <v>46237</v>
      </c>
      <c r="G202" s="85">
        <f t="shared" si="25"/>
        <v>46248</v>
      </c>
      <c r="H202" s="83">
        <v>10</v>
      </c>
      <c r="I202" s="127"/>
    </row>
    <row r="203" spans="1:10">
      <c r="A203" s="83" t="s">
        <v>9</v>
      </c>
      <c r="B203" s="114" t="s">
        <v>119</v>
      </c>
      <c r="C203" s="84">
        <v>15</v>
      </c>
      <c r="D203" s="83" t="s">
        <v>94</v>
      </c>
      <c r="E203" s="83" t="s">
        <v>14</v>
      </c>
      <c r="F203" s="85">
        <f>WORKDAY(F198,3)</f>
        <v>46237</v>
      </c>
      <c r="G203" s="85">
        <f t="shared" si="25"/>
        <v>46248</v>
      </c>
      <c r="H203" s="83">
        <v>10</v>
      </c>
      <c r="I203" s="83">
        <v>0</v>
      </c>
    </row>
    <row r="204" spans="1:10">
      <c r="A204" s="86" t="s">
        <v>9</v>
      </c>
      <c r="B204" s="116" t="s">
        <v>119</v>
      </c>
      <c r="C204" s="87"/>
      <c r="D204" s="86" t="s">
        <v>95</v>
      </c>
      <c r="E204" s="86" t="s">
        <v>41</v>
      </c>
      <c r="F204" s="88">
        <f>WORKDAY(F203,3)</f>
        <v>46240</v>
      </c>
      <c r="G204" s="88">
        <f t="shared" si="25"/>
        <v>46248</v>
      </c>
      <c r="H204" s="86">
        <v>7</v>
      </c>
      <c r="I204" s="86">
        <v>0</v>
      </c>
    </row>
    <row r="205" spans="1:10">
      <c r="A205" s="89" t="s">
        <v>9</v>
      </c>
      <c r="B205" s="89" t="s">
        <v>119</v>
      </c>
      <c r="C205" s="90">
        <v>16</v>
      </c>
      <c r="D205" s="89" t="s">
        <v>96</v>
      </c>
      <c r="E205" s="89" t="s">
        <v>97</v>
      </c>
      <c r="F205" s="91">
        <f>WORKDAY(F204,2)</f>
        <v>46244</v>
      </c>
      <c r="G205" s="91">
        <f t="shared" si="25"/>
        <v>46255</v>
      </c>
      <c r="H205" s="89">
        <v>10</v>
      </c>
      <c r="I205" s="89">
        <v>0</v>
      </c>
    </row>
    <row r="206" spans="1:10">
      <c r="A206" s="89" t="s">
        <v>9</v>
      </c>
      <c r="B206" s="89" t="s">
        <v>119</v>
      </c>
      <c r="C206" s="90">
        <v>16</v>
      </c>
      <c r="D206" s="89" t="s">
        <v>98</v>
      </c>
      <c r="E206" s="89" t="s">
        <v>99</v>
      </c>
      <c r="F206" s="91">
        <f>WORKDAY(F204,2)</f>
        <v>46244</v>
      </c>
      <c r="G206" s="91">
        <f t="shared" si="25"/>
        <v>46255</v>
      </c>
      <c r="H206" s="89">
        <v>10</v>
      </c>
      <c r="I206" s="89">
        <v>4</v>
      </c>
    </row>
    <row r="207" spans="1:10">
      <c r="A207" s="89" t="s">
        <v>9</v>
      </c>
      <c r="B207" s="89" t="s">
        <v>119</v>
      </c>
      <c r="C207" s="90">
        <v>16</v>
      </c>
      <c r="D207" s="89" t="s">
        <v>101</v>
      </c>
      <c r="E207" s="89" t="s">
        <v>102</v>
      </c>
      <c r="F207" s="91">
        <f>WORKDAY(F204,2)</f>
        <v>46244</v>
      </c>
      <c r="G207" s="91">
        <f t="shared" si="25"/>
        <v>46255</v>
      </c>
      <c r="H207" s="89">
        <v>10</v>
      </c>
      <c r="I207" s="89">
        <v>0</v>
      </c>
    </row>
    <row r="208" spans="1:10">
      <c r="A208" s="38" t="s">
        <v>9</v>
      </c>
      <c r="B208" s="38" t="s">
        <v>119</v>
      </c>
      <c r="C208" s="92">
        <v>17</v>
      </c>
      <c r="D208" s="38" t="s">
        <v>103</v>
      </c>
      <c r="E208" s="38" t="s">
        <v>104</v>
      </c>
      <c r="F208" s="93">
        <f>WORKDAY(G206,-4)</f>
        <v>46251</v>
      </c>
      <c r="G208" s="93">
        <f t="shared" si="25"/>
        <v>46253</v>
      </c>
      <c r="H208" s="38">
        <v>3</v>
      </c>
      <c r="I208" s="38">
        <v>0</v>
      </c>
    </row>
    <row r="209" spans="1:9">
      <c r="A209" s="38" t="s">
        <v>9</v>
      </c>
      <c r="B209" s="38" t="s">
        <v>119</v>
      </c>
      <c r="C209" s="92">
        <v>17</v>
      </c>
      <c r="D209" s="38" t="s">
        <v>106</v>
      </c>
      <c r="E209" s="38" t="s">
        <v>22</v>
      </c>
      <c r="F209" s="93">
        <f>WORKDAY(G206,-4)</f>
        <v>46251</v>
      </c>
      <c r="G209" s="93">
        <f t="shared" si="25"/>
        <v>46262</v>
      </c>
      <c r="H209" s="38">
        <v>10</v>
      </c>
      <c r="I209" s="38">
        <v>5</v>
      </c>
    </row>
    <row r="210" spans="1:9">
      <c r="A210" s="38" t="s">
        <v>9</v>
      </c>
      <c r="B210" s="38" t="s">
        <v>119</v>
      </c>
      <c r="C210" s="92">
        <v>17</v>
      </c>
      <c r="D210" s="38" t="s">
        <v>108</v>
      </c>
      <c r="E210" s="38" t="s">
        <v>97</v>
      </c>
      <c r="F210" s="93">
        <f>WORKDAY(G206,-4)</f>
        <v>46251</v>
      </c>
      <c r="G210" s="93">
        <f t="shared" si="25"/>
        <v>46262</v>
      </c>
      <c r="H210" s="38">
        <v>10</v>
      </c>
      <c r="I210" s="38">
        <v>3</v>
      </c>
    </row>
    <row r="211" spans="1:9">
      <c r="A211" s="94" t="s">
        <v>9</v>
      </c>
      <c r="B211" s="94" t="s">
        <v>119</v>
      </c>
      <c r="C211" s="95">
        <v>18</v>
      </c>
      <c r="D211" s="96" t="s">
        <v>109</v>
      </c>
      <c r="E211" s="96" t="s">
        <v>110</v>
      </c>
      <c r="F211" s="97">
        <f>WORKDAY(G206,1)</f>
        <v>46258</v>
      </c>
      <c r="G211" s="97">
        <f t="shared" si="25"/>
        <v>46269</v>
      </c>
      <c r="H211" s="94">
        <v>10</v>
      </c>
      <c r="I211" s="94">
        <v>0</v>
      </c>
    </row>
    <row r="212" spans="1:9">
      <c r="A212" s="94" t="s">
        <v>9</v>
      </c>
      <c r="B212" s="94" t="s">
        <v>119</v>
      </c>
      <c r="C212" s="95">
        <v>18</v>
      </c>
      <c r="D212" s="96" t="s">
        <v>112</v>
      </c>
      <c r="E212" s="96" t="s">
        <v>102</v>
      </c>
      <c r="F212" s="97">
        <f>WORKDAY(G206,1)</f>
        <v>46258</v>
      </c>
      <c r="G212" s="97">
        <f t="shared" si="25"/>
        <v>46269</v>
      </c>
      <c r="H212" s="94">
        <v>10</v>
      </c>
      <c r="I212" s="94">
        <v>0</v>
      </c>
    </row>
    <row r="213" spans="1:9">
      <c r="A213" s="77" t="s">
        <v>9</v>
      </c>
      <c r="B213" s="77" t="s">
        <v>119</v>
      </c>
      <c r="C213" s="98">
        <v>18</v>
      </c>
      <c r="D213" s="77" t="s">
        <v>113</v>
      </c>
      <c r="E213" s="77" t="s">
        <v>114</v>
      </c>
      <c r="F213" s="44">
        <f>WORKDAY(G211,-4)</f>
        <v>46265</v>
      </c>
      <c r="G213" s="44">
        <f t="shared" si="25"/>
        <v>46269</v>
      </c>
      <c r="H213" s="77">
        <v>5</v>
      </c>
      <c r="I213" s="77">
        <v>0</v>
      </c>
    </row>
    <row r="214" spans="1:9">
      <c r="A214" s="77" t="s">
        <v>9</v>
      </c>
      <c r="B214" s="77" t="s">
        <v>119</v>
      </c>
      <c r="C214" s="98">
        <v>18</v>
      </c>
      <c r="D214" s="77" t="s">
        <v>116</v>
      </c>
      <c r="E214" s="77" t="s">
        <v>60</v>
      </c>
      <c r="F214" s="44">
        <f>WORKDAY(G211,-4)</f>
        <v>46265</v>
      </c>
      <c r="G214" s="44">
        <f t="shared" si="25"/>
        <v>46269</v>
      </c>
      <c r="H214" s="77">
        <v>5</v>
      </c>
      <c r="I214" s="77">
        <v>0</v>
      </c>
    </row>
    <row r="215" spans="1:9">
      <c r="A215" s="5" t="s">
        <v>122</v>
      </c>
      <c r="B215" s="6" t="s">
        <v>10</v>
      </c>
      <c r="C215" s="7"/>
      <c r="D215" s="6" t="s">
        <v>11</v>
      </c>
      <c r="E215" s="6"/>
      <c r="F215" s="8">
        <f>WORKDAY(G164,6)</f>
        <v>46118</v>
      </c>
      <c r="G215" s="8">
        <f>WORKDAY(F215,H215-1,)</f>
        <v>46129</v>
      </c>
      <c r="H215" s="6">
        <v>10</v>
      </c>
      <c r="I215" s="6">
        <v>36</v>
      </c>
    </row>
    <row r="216" spans="1:9">
      <c r="A216" s="5" t="s">
        <v>122</v>
      </c>
      <c r="B216" s="6" t="s">
        <v>10</v>
      </c>
      <c r="C216" s="7"/>
      <c r="D216" s="6" t="s">
        <v>13</v>
      </c>
      <c r="E216" s="6"/>
      <c r="F216" s="8">
        <f>WORKDAY(G164,6)</f>
        <v>46118</v>
      </c>
      <c r="G216" s="8">
        <f t="shared" ref="G216" si="27">WORKDAY(F216,H216-1,)</f>
        <v>46129</v>
      </c>
      <c r="H216" s="6">
        <v>10</v>
      </c>
      <c r="I216" s="6">
        <v>1</v>
      </c>
    </row>
    <row r="217" spans="1:9">
      <c r="A217" s="5" t="s">
        <v>122</v>
      </c>
      <c r="B217" s="6" t="s">
        <v>10</v>
      </c>
      <c r="C217" s="7"/>
      <c r="D217" s="6" t="s">
        <v>15</v>
      </c>
      <c r="E217" s="6"/>
      <c r="F217" s="8">
        <f>WORKDAY(G164,6)</f>
        <v>46118</v>
      </c>
      <c r="G217" s="8">
        <f>WORKDAY(F217,H217-1,)</f>
        <v>46129</v>
      </c>
      <c r="H217" s="6">
        <v>10</v>
      </c>
      <c r="I217" s="6">
        <v>1</v>
      </c>
    </row>
    <row r="218" spans="1:9">
      <c r="A218" s="11" t="s">
        <v>122</v>
      </c>
      <c r="B218" s="11" t="s">
        <v>10</v>
      </c>
      <c r="C218" s="10"/>
      <c r="D218" s="11" t="s">
        <v>16</v>
      </c>
      <c r="E218" s="11"/>
      <c r="F218" s="12">
        <f>WORKDAY(G217,-4)</f>
        <v>46125</v>
      </c>
      <c r="G218" s="12">
        <f t="shared" ref="G218:G225" si="28">WORKDAY(F218,H218-1,)</f>
        <v>46136</v>
      </c>
      <c r="H218" s="11">
        <v>10</v>
      </c>
      <c r="I218" s="11">
        <v>5</v>
      </c>
    </row>
    <row r="219" spans="1:9">
      <c r="A219" s="11" t="s">
        <v>122</v>
      </c>
      <c r="B219" s="11" t="s">
        <v>10</v>
      </c>
      <c r="C219" s="10"/>
      <c r="D219" s="11" t="s">
        <v>18</v>
      </c>
      <c r="E219" s="11"/>
      <c r="F219" s="12">
        <f>WORKDAY(G217,-4)</f>
        <v>46125</v>
      </c>
      <c r="G219" s="12">
        <f t="shared" si="28"/>
        <v>46136</v>
      </c>
      <c r="H219" s="11">
        <v>10</v>
      </c>
      <c r="I219" s="13">
        <v>4</v>
      </c>
    </row>
    <row r="220" spans="1:9">
      <c r="A220" s="11" t="s">
        <v>122</v>
      </c>
      <c r="B220" s="11" t="s">
        <v>10</v>
      </c>
      <c r="C220" s="10"/>
      <c r="D220" s="11" t="s">
        <v>21</v>
      </c>
      <c r="E220" s="11"/>
      <c r="F220" s="12">
        <f>WORKDAY(G217,-4)</f>
        <v>46125</v>
      </c>
      <c r="G220" s="12">
        <f t="shared" si="28"/>
        <v>46136</v>
      </c>
      <c r="H220" s="11">
        <v>10</v>
      </c>
      <c r="I220" s="11">
        <v>3</v>
      </c>
    </row>
    <row r="221" spans="1:9">
      <c r="A221" s="11" t="s">
        <v>122</v>
      </c>
      <c r="B221" s="11" t="s">
        <v>10</v>
      </c>
      <c r="C221" s="10"/>
      <c r="D221" s="11" t="s">
        <v>24</v>
      </c>
      <c r="E221" s="11"/>
      <c r="F221" s="12">
        <f>WORKDAY(G217,-4)</f>
        <v>46125</v>
      </c>
      <c r="G221" s="12">
        <f t="shared" si="28"/>
        <v>46136</v>
      </c>
      <c r="H221" s="11">
        <v>10</v>
      </c>
      <c r="I221" s="11">
        <v>0</v>
      </c>
    </row>
    <row r="222" spans="1:9">
      <c r="A222" s="17" t="s">
        <v>122</v>
      </c>
      <c r="B222" s="17" t="s">
        <v>10</v>
      </c>
      <c r="C222" s="16"/>
      <c r="D222" s="17" t="s">
        <v>26</v>
      </c>
      <c r="E222" s="17"/>
      <c r="F222" s="18">
        <f>WORKDAY(G221,-4)</f>
        <v>46132</v>
      </c>
      <c r="G222" s="18">
        <f t="shared" si="28"/>
        <v>46143</v>
      </c>
      <c r="H222" s="17">
        <v>10</v>
      </c>
      <c r="I222" s="17">
        <v>2</v>
      </c>
    </row>
    <row r="223" spans="1:9">
      <c r="A223" s="21" t="s">
        <v>122</v>
      </c>
      <c r="B223" s="21" t="s">
        <v>10</v>
      </c>
      <c r="C223" s="20"/>
      <c r="D223" s="21" t="s">
        <v>29</v>
      </c>
      <c r="E223" s="21"/>
      <c r="F223" s="22">
        <f>WORKDAY(F222,5)</f>
        <v>46139</v>
      </c>
      <c r="G223" s="22">
        <f t="shared" si="28"/>
        <v>46143</v>
      </c>
      <c r="H223" s="21">
        <v>5</v>
      </c>
      <c r="I223" s="21">
        <v>4</v>
      </c>
    </row>
    <row r="224" spans="1:9">
      <c r="A224" s="21" t="s">
        <v>122</v>
      </c>
      <c r="B224" s="21" t="s">
        <v>10</v>
      </c>
      <c r="C224" s="20"/>
      <c r="D224" s="21" t="s">
        <v>32</v>
      </c>
      <c r="E224" s="21"/>
      <c r="F224" s="22">
        <f>WORKDAY(G222,1)</f>
        <v>46146</v>
      </c>
      <c r="G224" s="22">
        <f t="shared" si="28"/>
        <v>46150</v>
      </c>
      <c r="H224" s="21">
        <v>5</v>
      </c>
      <c r="I224" s="21">
        <v>1</v>
      </c>
    </row>
    <row r="225" spans="1:9">
      <c r="A225" s="21" t="s">
        <v>122</v>
      </c>
      <c r="B225" s="21" t="s">
        <v>10</v>
      </c>
      <c r="C225" s="20"/>
      <c r="D225" s="21" t="s">
        <v>34</v>
      </c>
      <c r="E225" s="21"/>
      <c r="F225" s="22">
        <f>WORKDAY(G219,1)</f>
        <v>46139</v>
      </c>
      <c r="G225" s="22">
        <f t="shared" si="28"/>
        <v>46150</v>
      </c>
      <c r="H225" s="21">
        <v>10</v>
      </c>
      <c r="I225" s="21">
        <v>3</v>
      </c>
    </row>
    <row r="226" spans="1:9">
      <c r="A226" s="31" t="s">
        <v>122</v>
      </c>
      <c r="B226" s="31" t="s">
        <v>10</v>
      </c>
      <c r="C226" s="30"/>
      <c r="D226" s="31" t="s">
        <v>37</v>
      </c>
      <c r="E226" s="31"/>
      <c r="F226" s="32">
        <f>WORKDAY(G225,1)</f>
        <v>46153</v>
      </c>
      <c r="G226" s="32">
        <f>WORKDAY(F226,H226-1,)</f>
        <v>46164</v>
      </c>
      <c r="H226" s="31">
        <v>10</v>
      </c>
      <c r="I226" s="128">
        <v>5</v>
      </c>
    </row>
    <row r="227" spans="1:9">
      <c r="A227" s="31" t="s">
        <v>122</v>
      </c>
      <c r="B227" s="31" t="s">
        <v>10</v>
      </c>
      <c r="C227" s="30"/>
      <c r="D227" s="31" t="s">
        <v>40</v>
      </c>
      <c r="E227" s="31"/>
      <c r="F227" s="32">
        <f>WORKDAY(G225,1)</f>
        <v>46153</v>
      </c>
      <c r="G227" s="32">
        <f t="shared" ref="G227:G239" si="29">WORKDAY(F227,H227-1,)</f>
        <v>46164</v>
      </c>
      <c r="H227" s="31">
        <v>10</v>
      </c>
      <c r="I227" s="128"/>
    </row>
    <row r="228" spans="1:9">
      <c r="A228" s="31" t="s">
        <v>122</v>
      </c>
      <c r="B228" s="31" t="s">
        <v>10</v>
      </c>
      <c r="C228" s="30"/>
      <c r="D228" s="31" t="s">
        <v>42</v>
      </c>
      <c r="E228" s="31"/>
      <c r="F228" s="32">
        <f>WORKDAY(G225,1)</f>
        <v>46153</v>
      </c>
      <c r="G228" s="32">
        <f t="shared" si="29"/>
        <v>46164</v>
      </c>
      <c r="H228" s="31">
        <v>10</v>
      </c>
      <c r="I228" s="128"/>
    </row>
    <row r="229" spans="1:9">
      <c r="A229" s="31" t="s">
        <v>122</v>
      </c>
      <c r="B229" s="31" t="s">
        <v>10</v>
      </c>
      <c r="C229" s="30"/>
      <c r="D229" s="31" t="s">
        <v>44</v>
      </c>
      <c r="E229" s="31"/>
      <c r="F229" s="32">
        <f>WORKDAY(G225,1)</f>
        <v>46153</v>
      </c>
      <c r="G229" s="32">
        <f t="shared" si="29"/>
        <v>46164</v>
      </c>
      <c r="H229" s="31">
        <v>10</v>
      </c>
      <c r="I229" s="128"/>
    </row>
    <row r="230" spans="1:9">
      <c r="A230" s="31" t="s">
        <v>122</v>
      </c>
      <c r="B230" s="58" t="s">
        <v>10</v>
      </c>
      <c r="C230" s="34"/>
      <c r="D230" s="31" t="s">
        <v>45</v>
      </c>
      <c r="E230" s="31"/>
      <c r="F230" s="32">
        <f>WORKDAY(G225,1)</f>
        <v>46153</v>
      </c>
      <c r="G230" s="32">
        <f t="shared" si="29"/>
        <v>46164</v>
      </c>
      <c r="H230" s="31">
        <v>10</v>
      </c>
      <c r="I230" s="31">
        <v>5</v>
      </c>
    </row>
    <row r="231" spans="1:9">
      <c r="A231" s="25" t="s">
        <v>122</v>
      </c>
      <c r="B231" s="26" t="s">
        <v>10</v>
      </c>
      <c r="C231" s="37"/>
      <c r="D231" s="26" t="s">
        <v>47</v>
      </c>
      <c r="E231" s="26"/>
      <c r="F231" s="27">
        <f>WORKDAY(G230,-4)</f>
        <v>46160</v>
      </c>
      <c r="G231" s="28">
        <f t="shared" si="29"/>
        <v>46171</v>
      </c>
      <c r="H231" s="26">
        <v>10</v>
      </c>
      <c r="I231" s="26">
        <v>11</v>
      </c>
    </row>
    <row r="232" spans="1:9">
      <c r="A232" s="77" t="s">
        <v>122</v>
      </c>
      <c r="B232" s="42" t="s">
        <v>10</v>
      </c>
      <c r="C232" s="41"/>
      <c r="D232" s="42" t="s">
        <v>50</v>
      </c>
      <c r="E232" s="42"/>
      <c r="F232" s="43">
        <f>WORKDAY(G230,1)</f>
        <v>46167</v>
      </c>
      <c r="G232" s="44">
        <f t="shared" si="29"/>
        <v>46167</v>
      </c>
      <c r="H232" s="42">
        <v>1</v>
      </c>
      <c r="I232" s="42">
        <v>0</v>
      </c>
    </row>
    <row r="233" spans="1:9">
      <c r="A233" s="21" t="s">
        <v>122</v>
      </c>
      <c r="B233" s="47" t="s">
        <v>10</v>
      </c>
      <c r="C233" s="46"/>
      <c r="D233" s="47" t="s">
        <v>52</v>
      </c>
      <c r="E233" s="47"/>
      <c r="F233" s="48">
        <f>WORKDAY(G231,1)</f>
        <v>46174</v>
      </c>
      <c r="G233" s="22">
        <f t="shared" si="29"/>
        <v>46185</v>
      </c>
      <c r="H233" s="47">
        <v>10</v>
      </c>
      <c r="I233" s="47">
        <v>5</v>
      </c>
    </row>
    <row r="234" spans="1:9">
      <c r="A234" s="21" t="s">
        <v>122</v>
      </c>
      <c r="B234" s="47" t="s">
        <v>10</v>
      </c>
      <c r="C234" s="46"/>
      <c r="D234" s="49" t="s">
        <v>55</v>
      </c>
      <c r="E234" s="49"/>
      <c r="F234" s="48">
        <f>WORKDAY(G231,1)</f>
        <v>46174</v>
      </c>
      <c r="G234" s="22">
        <f t="shared" si="29"/>
        <v>46185</v>
      </c>
      <c r="H234" s="47">
        <v>10</v>
      </c>
      <c r="I234" s="47">
        <v>0</v>
      </c>
    </row>
    <row r="235" spans="1:9">
      <c r="A235" s="52" t="s">
        <v>122</v>
      </c>
      <c r="B235" s="52" t="s">
        <v>10</v>
      </c>
      <c r="C235" s="51"/>
      <c r="D235" s="52" t="s">
        <v>56</v>
      </c>
      <c r="E235" s="52"/>
      <c r="F235" s="53">
        <f t="shared" ref="F235" si="30">WORKDAY(G234,1)</f>
        <v>46188</v>
      </c>
      <c r="G235" s="53">
        <f t="shared" si="29"/>
        <v>46199</v>
      </c>
      <c r="H235" s="52">
        <v>10</v>
      </c>
      <c r="I235" s="52">
        <v>7</v>
      </c>
    </row>
    <row r="236" spans="1:9">
      <c r="A236" s="52" t="s">
        <v>122</v>
      </c>
      <c r="B236" s="52" t="s">
        <v>10</v>
      </c>
      <c r="C236" s="51"/>
      <c r="D236" s="52" t="s">
        <v>59</v>
      </c>
      <c r="E236" s="52"/>
      <c r="F236" s="53">
        <f>WORKDAY(G234,1)</f>
        <v>46188</v>
      </c>
      <c r="G236" s="53">
        <f t="shared" si="29"/>
        <v>46188</v>
      </c>
      <c r="H236" s="52">
        <v>1</v>
      </c>
      <c r="I236" s="52">
        <v>5</v>
      </c>
    </row>
    <row r="237" spans="1:9">
      <c r="A237" s="56" t="s">
        <v>122</v>
      </c>
      <c r="B237" s="56" t="s">
        <v>10</v>
      </c>
      <c r="C237" s="55"/>
      <c r="D237" s="56" t="s">
        <v>62</v>
      </c>
      <c r="E237" s="56"/>
      <c r="F237" s="57">
        <f>WORKDAY(G235,-4)</f>
        <v>46195</v>
      </c>
      <c r="G237" s="57">
        <f t="shared" si="29"/>
        <v>46206</v>
      </c>
      <c r="H237" s="56">
        <v>10</v>
      </c>
      <c r="I237" s="56">
        <v>10</v>
      </c>
    </row>
    <row r="238" spans="1:9">
      <c r="A238" s="56" t="s">
        <v>122</v>
      </c>
      <c r="B238" s="56" t="s">
        <v>10</v>
      </c>
      <c r="C238" s="55"/>
      <c r="D238" s="56" t="s">
        <v>64</v>
      </c>
      <c r="E238" s="56"/>
      <c r="F238" s="57">
        <f>WORKDAY(F237,1)</f>
        <v>46196</v>
      </c>
      <c r="G238" s="57">
        <f t="shared" si="29"/>
        <v>46206</v>
      </c>
      <c r="H238" s="56">
        <v>9</v>
      </c>
      <c r="I238" s="56">
        <v>0</v>
      </c>
    </row>
    <row r="239" spans="1:9">
      <c r="A239" s="31" t="s">
        <v>122</v>
      </c>
      <c r="B239" s="58" t="s">
        <v>10</v>
      </c>
      <c r="C239" s="34"/>
      <c r="D239" s="58" t="s">
        <v>65</v>
      </c>
      <c r="E239" s="58"/>
      <c r="F239" s="59">
        <f>WORKDAY(G237,1)</f>
        <v>46209</v>
      </c>
      <c r="G239" s="32">
        <f t="shared" si="29"/>
        <v>46220</v>
      </c>
      <c r="H239" s="58">
        <v>10</v>
      </c>
      <c r="I239" s="58">
        <v>4</v>
      </c>
    </row>
    <row r="240" spans="1:9">
      <c r="A240" s="107" t="s">
        <v>122</v>
      </c>
      <c r="B240" s="121" t="s">
        <v>10</v>
      </c>
      <c r="C240" s="63"/>
      <c r="D240" s="64" t="s">
        <v>68</v>
      </c>
      <c r="E240" s="64"/>
      <c r="F240" s="65">
        <f>WORKDAY(G239,1)</f>
        <v>46223</v>
      </c>
      <c r="G240" s="65">
        <f>WORKDAY(F240,H240-1,)</f>
        <v>46234</v>
      </c>
      <c r="H240" s="64">
        <v>10</v>
      </c>
      <c r="I240" s="130">
        <v>4</v>
      </c>
    </row>
    <row r="241" spans="1:9">
      <c r="A241" s="107" t="s">
        <v>122</v>
      </c>
      <c r="B241" s="121" t="s">
        <v>10</v>
      </c>
      <c r="C241" s="63"/>
      <c r="D241" s="64" t="s">
        <v>71</v>
      </c>
      <c r="E241" s="64"/>
      <c r="F241" s="65">
        <f>WORKDAY(G239,1)</f>
        <v>46223</v>
      </c>
      <c r="G241" s="65">
        <f t="shared" ref="G241:G243" si="31">WORKDAY(F240,H240-1,)</f>
        <v>46234</v>
      </c>
      <c r="H241" s="64">
        <v>10</v>
      </c>
      <c r="I241" s="130"/>
    </row>
    <row r="242" spans="1:9">
      <c r="A242" s="107" t="s">
        <v>122</v>
      </c>
      <c r="B242" s="121" t="s">
        <v>10</v>
      </c>
      <c r="C242" s="63"/>
      <c r="D242" s="64" t="s">
        <v>72</v>
      </c>
      <c r="E242" s="64"/>
      <c r="F242" s="65">
        <f>WORKDAY(G239,1)</f>
        <v>46223</v>
      </c>
      <c r="G242" s="65">
        <f t="shared" si="31"/>
        <v>46234</v>
      </c>
      <c r="H242" s="64">
        <v>10</v>
      </c>
      <c r="I242" s="130"/>
    </row>
    <row r="243" spans="1:9">
      <c r="A243" s="107" t="s">
        <v>122</v>
      </c>
      <c r="B243" s="121" t="s">
        <v>10</v>
      </c>
      <c r="C243" s="63"/>
      <c r="D243" s="64" t="s">
        <v>73</v>
      </c>
      <c r="E243" s="64"/>
      <c r="F243" s="65">
        <f>WORKDAY(G239,1)</f>
        <v>46223</v>
      </c>
      <c r="G243" s="65">
        <f t="shared" si="31"/>
        <v>46234</v>
      </c>
      <c r="H243" s="64">
        <v>10</v>
      </c>
      <c r="I243" s="130"/>
    </row>
    <row r="244" spans="1:9">
      <c r="A244" s="107" t="s">
        <v>122</v>
      </c>
      <c r="B244" s="121" t="s">
        <v>10</v>
      </c>
      <c r="C244" s="63"/>
      <c r="D244" s="64" t="s">
        <v>74</v>
      </c>
      <c r="E244" s="64"/>
      <c r="F244" s="65">
        <f>WORKDAY(G239,1)</f>
        <v>46223</v>
      </c>
      <c r="G244" s="66">
        <f>WORKDAY(F244,H244-1,)</f>
        <v>46234</v>
      </c>
      <c r="H244" s="64">
        <v>10</v>
      </c>
      <c r="I244" s="64">
        <v>6</v>
      </c>
    </row>
    <row r="245" spans="1:9">
      <c r="A245" s="107" t="s">
        <v>122</v>
      </c>
      <c r="B245" s="121" t="s">
        <v>10</v>
      </c>
      <c r="C245" s="63"/>
      <c r="D245" s="64" t="s">
        <v>77</v>
      </c>
      <c r="E245" s="64"/>
      <c r="F245" s="65">
        <f>WORKDAY(G239,1)</f>
        <v>46223</v>
      </c>
      <c r="G245" s="66">
        <f t="shared" ref="G245:G267" si="32">WORKDAY(F245,H245-1,)</f>
        <v>46234</v>
      </c>
      <c r="H245" s="64">
        <v>10</v>
      </c>
      <c r="I245" s="64">
        <v>1</v>
      </c>
    </row>
    <row r="246" spans="1:9">
      <c r="A246" s="107" t="s">
        <v>122</v>
      </c>
      <c r="B246" s="121" t="s">
        <v>10</v>
      </c>
      <c r="C246" s="63"/>
      <c r="D246" s="64" t="s">
        <v>80</v>
      </c>
      <c r="E246" s="64"/>
      <c r="F246" s="65">
        <f>WORKDAY(G239,1)</f>
        <v>46223</v>
      </c>
      <c r="G246" s="66">
        <f t="shared" si="32"/>
        <v>46234</v>
      </c>
      <c r="H246" s="64">
        <v>10</v>
      </c>
      <c r="I246" s="64">
        <v>0</v>
      </c>
    </row>
    <row r="247" spans="1:9">
      <c r="A247" s="107" t="s">
        <v>122</v>
      </c>
      <c r="B247" s="121" t="s">
        <v>10</v>
      </c>
      <c r="C247" s="63"/>
      <c r="D247" s="64" t="s">
        <v>81</v>
      </c>
      <c r="E247" s="64"/>
      <c r="F247" s="65">
        <f>WORKDAY(G239,1)</f>
        <v>46223</v>
      </c>
      <c r="G247" s="66">
        <f t="shared" si="32"/>
        <v>46234</v>
      </c>
      <c r="H247" s="64">
        <v>10</v>
      </c>
      <c r="I247" s="64">
        <v>4</v>
      </c>
    </row>
    <row r="248" spans="1:9">
      <c r="A248" s="70" t="s">
        <v>122</v>
      </c>
      <c r="B248" s="70" t="s">
        <v>10</v>
      </c>
      <c r="C248" s="69"/>
      <c r="D248" s="70" t="s">
        <v>82</v>
      </c>
      <c r="E248" s="70"/>
      <c r="F248" s="71">
        <f t="shared" ref="F248" si="33">WORKDAY(G247,1)</f>
        <v>46237</v>
      </c>
      <c r="G248" s="71">
        <f t="shared" si="32"/>
        <v>46248</v>
      </c>
      <c r="H248" s="70">
        <v>10</v>
      </c>
      <c r="I248" s="70">
        <v>4</v>
      </c>
    </row>
    <row r="249" spans="1:9">
      <c r="A249" s="77" t="s">
        <v>122</v>
      </c>
      <c r="B249" s="75" t="s">
        <v>10</v>
      </c>
      <c r="C249" s="74"/>
      <c r="D249" s="75" t="s">
        <v>85</v>
      </c>
      <c r="E249" s="75"/>
      <c r="F249" s="76">
        <f>WORKDAY(G248,-1)</f>
        <v>46247</v>
      </c>
      <c r="G249" s="44">
        <f t="shared" si="32"/>
        <v>46251</v>
      </c>
      <c r="H249" s="75">
        <v>3</v>
      </c>
      <c r="I249" s="75">
        <v>12</v>
      </c>
    </row>
    <row r="250" spans="1:9">
      <c r="A250" s="77" t="s">
        <v>122</v>
      </c>
      <c r="B250" s="75" t="s">
        <v>10</v>
      </c>
      <c r="C250" s="74"/>
      <c r="D250" s="75" t="s">
        <v>86</v>
      </c>
      <c r="E250" s="75"/>
      <c r="F250" s="76">
        <f>WORKDAY(G248,1)</f>
        <v>46251</v>
      </c>
      <c r="G250" s="44">
        <f t="shared" si="32"/>
        <v>46262</v>
      </c>
      <c r="H250" s="75">
        <v>10</v>
      </c>
      <c r="I250" s="75">
        <v>0</v>
      </c>
    </row>
    <row r="251" spans="1:9">
      <c r="A251" s="78" t="s">
        <v>122</v>
      </c>
      <c r="B251" s="79" t="s">
        <v>10</v>
      </c>
      <c r="C251" s="80"/>
      <c r="D251" s="79" t="s">
        <v>87</v>
      </c>
      <c r="E251" s="79"/>
      <c r="F251" s="81">
        <f>WORKDAY(F249,4)</f>
        <v>46253</v>
      </c>
      <c r="G251" s="82">
        <f t="shared" si="32"/>
        <v>46266</v>
      </c>
      <c r="H251" s="79">
        <v>10</v>
      </c>
      <c r="I251" s="79">
        <v>4</v>
      </c>
    </row>
    <row r="252" spans="1:9">
      <c r="A252" s="83" t="s">
        <v>122</v>
      </c>
      <c r="B252" s="83" t="s">
        <v>10</v>
      </c>
      <c r="C252" s="84"/>
      <c r="D252" s="83" t="s">
        <v>89</v>
      </c>
      <c r="E252" s="83"/>
      <c r="F252" s="85">
        <f>WORKDAY(F251,3)</f>
        <v>46258</v>
      </c>
      <c r="G252" s="85">
        <f t="shared" si="32"/>
        <v>46269</v>
      </c>
      <c r="H252" s="83">
        <v>10</v>
      </c>
      <c r="I252" s="127">
        <v>1</v>
      </c>
    </row>
    <row r="253" spans="1:9">
      <c r="A253" s="83" t="s">
        <v>122</v>
      </c>
      <c r="B253" s="83" t="s">
        <v>10</v>
      </c>
      <c r="C253" s="84"/>
      <c r="D253" s="83" t="s">
        <v>91</v>
      </c>
      <c r="E253" s="83"/>
      <c r="F253" s="85">
        <f>WORKDAY(F251,3)</f>
        <v>46258</v>
      </c>
      <c r="G253" s="85">
        <f t="shared" si="32"/>
        <v>46269</v>
      </c>
      <c r="H253" s="83">
        <v>10</v>
      </c>
      <c r="I253" s="127"/>
    </row>
    <row r="254" spans="1:9">
      <c r="A254" s="83" t="s">
        <v>122</v>
      </c>
      <c r="B254" s="83" t="s">
        <v>10</v>
      </c>
      <c r="C254" s="84"/>
      <c r="D254" s="83" t="s">
        <v>92</v>
      </c>
      <c r="E254" s="83"/>
      <c r="F254" s="85">
        <f>WORKDAY(F251,3)</f>
        <v>46258</v>
      </c>
      <c r="G254" s="85">
        <f t="shared" si="32"/>
        <v>46269</v>
      </c>
      <c r="H254" s="83">
        <v>10</v>
      </c>
      <c r="I254" s="127"/>
    </row>
    <row r="255" spans="1:9">
      <c r="A255" s="83" t="s">
        <v>122</v>
      </c>
      <c r="B255" s="83" t="s">
        <v>10</v>
      </c>
      <c r="C255" s="84"/>
      <c r="D255" s="83" t="s">
        <v>93</v>
      </c>
      <c r="E255" s="83"/>
      <c r="F255" s="85">
        <f>WORKDAY(F251,3)</f>
        <v>46258</v>
      </c>
      <c r="G255" s="85">
        <f t="shared" si="32"/>
        <v>46269</v>
      </c>
      <c r="H255" s="83">
        <v>10</v>
      </c>
      <c r="I255" s="127"/>
    </row>
    <row r="256" spans="1:9">
      <c r="A256" s="83" t="s">
        <v>122</v>
      </c>
      <c r="B256" s="83" t="s">
        <v>10</v>
      </c>
      <c r="C256" s="84"/>
      <c r="D256" s="83" t="s">
        <v>94</v>
      </c>
      <c r="E256" s="83"/>
      <c r="F256" s="85">
        <f>WORKDAY(F251,3)</f>
        <v>46258</v>
      </c>
      <c r="G256" s="85">
        <f t="shared" si="32"/>
        <v>46269</v>
      </c>
      <c r="H256" s="83">
        <v>10</v>
      </c>
      <c r="I256" s="83">
        <v>1</v>
      </c>
    </row>
    <row r="257" spans="1:9">
      <c r="A257" s="86" t="s">
        <v>122</v>
      </c>
      <c r="B257" s="86" t="s">
        <v>10</v>
      </c>
      <c r="C257" s="87"/>
      <c r="D257" s="86" t="s">
        <v>95</v>
      </c>
      <c r="E257" s="86"/>
      <c r="F257" s="88">
        <f>WORKDAY(F256,3)</f>
        <v>46261</v>
      </c>
      <c r="G257" s="88">
        <f t="shared" si="32"/>
        <v>46269</v>
      </c>
      <c r="H257" s="86">
        <v>7</v>
      </c>
      <c r="I257" s="86">
        <v>0</v>
      </c>
    </row>
    <row r="258" spans="1:9">
      <c r="A258" s="89" t="s">
        <v>122</v>
      </c>
      <c r="B258" s="89" t="s">
        <v>10</v>
      </c>
      <c r="C258" s="90"/>
      <c r="D258" s="89" t="s">
        <v>96</v>
      </c>
      <c r="E258" s="89"/>
      <c r="F258" s="91">
        <f>WORKDAY(F257,2)</f>
        <v>46265</v>
      </c>
      <c r="G258" s="91">
        <f t="shared" si="32"/>
        <v>46276</v>
      </c>
      <c r="H258" s="89">
        <v>10</v>
      </c>
      <c r="I258" s="89">
        <v>2</v>
      </c>
    </row>
    <row r="259" spans="1:9">
      <c r="A259" s="89" t="s">
        <v>122</v>
      </c>
      <c r="B259" s="89" t="s">
        <v>10</v>
      </c>
      <c r="C259" s="90"/>
      <c r="D259" s="89" t="s">
        <v>98</v>
      </c>
      <c r="E259" s="89"/>
      <c r="F259" s="91">
        <f>WORKDAY(F257,2)</f>
        <v>46265</v>
      </c>
      <c r="G259" s="91">
        <f t="shared" si="32"/>
        <v>46276</v>
      </c>
      <c r="H259" s="89">
        <v>10</v>
      </c>
      <c r="I259" s="89">
        <v>9</v>
      </c>
    </row>
    <row r="260" spans="1:9">
      <c r="A260" s="89" t="s">
        <v>122</v>
      </c>
      <c r="B260" s="89" t="s">
        <v>10</v>
      </c>
      <c r="C260" s="90"/>
      <c r="D260" s="89" t="s">
        <v>101</v>
      </c>
      <c r="E260" s="89"/>
      <c r="F260" s="91">
        <f>WORKDAY(F257,2)</f>
        <v>46265</v>
      </c>
      <c r="G260" s="91">
        <f t="shared" si="32"/>
        <v>46276</v>
      </c>
      <c r="H260" s="89">
        <v>10</v>
      </c>
      <c r="I260" s="89">
        <v>0</v>
      </c>
    </row>
    <row r="261" spans="1:9">
      <c r="A261" s="38" t="s">
        <v>122</v>
      </c>
      <c r="B261" s="38" t="s">
        <v>10</v>
      </c>
      <c r="C261" s="92"/>
      <c r="D261" s="38" t="s">
        <v>103</v>
      </c>
      <c r="E261" s="38"/>
      <c r="F261" s="93">
        <f>WORKDAY(G259,-4)</f>
        <v>46272</v>
      </c>
      <c r="G261" s="93">
        <f t="shared" si="32"/>
        <v>46274</v>
      </c>
      <c r="H261" s="38">
        <v>3</v>
      </c>
      <c r="I261" s="38">
        <v>0</v>
      </c>
    </row>
    <row r="262" spans="1:9">
      <c r="A262" s="38" t="s">
        <v>122</v>
      </c>
      <c r="B262" s="38" t="s">
        <v>10</v>
      </c>
      <c r="C262" s="92"/>
      <c r="D262" s="38" t="s">
        <v>106</v>
      </c>
      <c r="E262" s="38"/>
      <c r="F262" s="93">
        <f>WORKDAY(G259,-4)</f>
        <v>46272</v>
      </c>
      <c r="G262" s="93">
        <f t="shared" si="32"/>
        <v>46283</v>
      </c>
      <c r="H262" s="38">
        <v>10</v>
      </c>
      <c r="I262" s="38">
        <v>10</v>
      </c>
    </row>
    <row r="263" spans="1:9">
      <c r="A263" s="38" t="s">
        <v>122</v>
      </c>
      <c r="B263" s="38" t="s">
        <v>10</v>
      </c>
      <c r="C263" s="92"/>
      <c r="D263" s="38" t="s">
        <v>108</v>
      </c>
      <c r="E263" s="38"/>
      <c r="F263" s="93">
        <f>WORKDAY(G259,-4)</f>
        <v>46272</v>
      </c>
      <c r="G263" s="93">
        <f t="shared" si="32"/>
        <v>46283</v>
      </c>
      <c r="H263" s="38">
        <v>10</v>
      </c>
      <c r="I263" s="38">
        <v>6</v>
      </c>
    </row>
    <row r="264" spans="1:9">
      <c r="A264" s="94" t="s">
        <v>122</v>
      </c>
      <c r="B264" s="94" t="s">
        <v>10</v>
      </c>
      <c r="C264" s="95"/>
      <c r="D264" s="96" t="s">
        <v>109</v>
      </c>
      <c r="E264" s="96"/>
      <c r="F264" s="97">
        <f>WORKDAY(G259,1)</f>
        <v>46279</v>
      </c>
      <c r="G264" s="97">
        <f t="shared" si="32"/>
        <v>46290</v>
      </c>
      <c r="H264" s="94">
        <v>10</v>
      </c>
      <c r="I264" s="94">
        <v>0</v>
      </c>
    </row>
    <row r="265" spans="1:9">
      <c r="A265" s="94" t="s">
        <v>122</v>
      </c>
      <c r="B265" s="94" t="s">
        <v>10</v>
      </c>
      <c r="C265" s="95"/>
      <c r="D265" s="96" t="s">
        <v>112</v>
      </c>
      <c r="E265" s="96"/>
      <c r="F265" s="97">
        <f>WORKDAY(G259,1)</f>
        <v>46279</v>
      </c>
      <c r="G265" s="97">
        <f t="shared" si="32"/>
        <v>46290</v>
      </c>
      <c r="H265" s="94">
        <v>10</v>
      </c>
      <c r="I265" s="94">
        <v>0</v>
      </c>
    </row>
    <row r="266" spans="1:9">
      <c r="A266" s="77" t="s">
        <v>122</v>
      </c>
      <c r="B266" s="77" t="s">
        <v>10</v>
      </c>
      <c r="C266" s="98"/>
      <c r="D266" s="77" t="s">
        <v>113</v>
      </c>
      <c r="E266" s="77"/>
      <c r="F266" s="44">
        <f>WORKDAY(G264,-4)</f>
        <v>46286</v>
      </c>
      <c r="G266" s="44">
        <f t="shared" si="32"/>
        <v>46290</v>
      </c>
      <c r="H266" s="77">
        <v>5</v>
      </c>
      <c r="I266" s="77">
        <v>1</v>
      </c>
    </row>
    <row r="267" spans="1:9">
      <c r="A267" s="77" t="s">
        <v>122</v>
      </c>
      <c r="B267" s="77" t="s">
        <v>10</v>
      </c>
      <c r="C267" s="98"/>
      <c r="D267" s="77" t="s">
        <v>116</v>
      </c>
      <c r="E267" s="77"/>
      <c r="F267" s="44">
        <f>WORKDAY(G264,-4)</f>
        <v>46286</v>
      </c>
      <c r="G267" s="44">
        <f t="shared" si="32"/>
        <v>46290</v>
      </c>
      <c r="H267" s="77">
        <v>5</v>
      </c>
      <c r="I267" s="77">
        <v>0</v>
      </c>
    </row>
    <row r="268" spans="1:9">
      <c r="A268" s="5" t="s">
        <v>122</v>
      </c>
      <c r="B268" s="99" t="s">
        <v>117</v>
      </c>
      <c r="C268" s="100"/>
      <c r="D268" s="6" t="s">
        <v>11</v>
      </c>
      <c r="E268" s="6"/>
      <c r="F268" s="8">
        <f>WORKDAY(G217,1)</f>
        <v>46132</v>
      </c>
      <c r="G268" s="8">
        <f>WORKDAY(F268,H268-1,)</f>
        <v>46143</v>
      </c>
      <c r="H268" s="6">
        <v>10</v>
      </c>
      <c r="I268" s="6">
        <v>36</v>
      </c>
    </row>
    <row r="269" spans="1:9">
      <c r="A269" s="5" t="s">
        <v>122</v>
      </c>
      <c r="B269" s="99" t="s">
        <v>117</v>
      </c>
      <c r="C269" s="100"/>
      <c r="D269" s="6" t="s">
        <v>13</v>
      </c>
      <c r="E269" s="6"/>
      <c r="F269" s="8">
        <f>WORKDAY(G217,1)</f>
        <v>46132</v>
      </c>
      <c r="G269" s="8">
        <f t="shared" ref="G269" si="34">WORKDAY(F269,H269-1,)</f>
        <v>46143</v>
      </c>
      <c r="H269" s="6">
        <v>10</v>
      </c>
      <c r="I269" s="6">
        <v>1</v>
      </c>
    </row>
    <row r="270" spans="1:9">
      <c r="A270" s="5" t="s">
        <v>122</v>
      </c>
      <c r="B270" s="99" t="s">
        <v>117</v>
      </c>
      <c r="C270" s="100"/>
      <c r="D270" s="6" t="s">
        <v>15</v>
      </c>
      <c r="E270" s="6"/>
      <c r="F270" s="8">
        <f>WORKDAY(G217,1)</f>
        <v>46132</v>
      </c>
      <c r="G270" s="8">
        <f>WORKDAY(F270,H270-1,)</f>
        <v>46143</v>
      </c>
      <c r="H270" s="6">
        <v>10</v>
      </c>
      <c r="I270" s="6">
        <v>1</v>
      </c>
    </row>
    <row r="271" spans="1:9">
      <c r="A271" s="11" t="s">
        <v>122</v>
      </c>
      <c r="B271" s="101" t="s">
        <v>117</v>
      </c>
      <c r="C271" s="102"/>
      <c r="D271" s="11" t="s">
        <v>16</v>
      </c>
      <c r="E271" s="11"/>
      <c r="F271" s="12">
        <f>WORKDAY(G270,-4)</f>
        <v>46139</v>
      </c>
      <c r="G271" s="12">
        <f t="shared" ref="G271:G278" si="35">WORKDAY(F271,H271-1,)</f>
        <v>46150</v>
      </c>
      <c r="H271" s="11">
        <v>10</v>
      </c>
      <c r="I271" s="11">
        <v>5</v>
      </c>
    </row>
    <row r="272" spans="1:9">
      <c r="A272" s="11" t="s">
        <v>122</v>
      </c>
      <c r="B272" s="101" t="s">
        <v>117</v>
      </c>
      <c r="C272" s="102"/>
      <c r="D272" s="11" t="s">
        <v>18</v>
      </c>
      <c r="E272" s="11"/>
      <c r="F272" s="12">
        <f>WORKDAY(G270,-4)</f>
        <v>46139</v>
      </c>
      <c r="G272" s="12">
        <f t="shared" si="35"/>
        <v>46150</v>
      </c>
      <c r="H272" s="11">
        <v>10</v>
      </c>
      <c r="I272" s="13">
        <v>4</v>
      </c>
    </row>
    <row r="273" spans="1:9">
      <c r="A273" s="11" t="s">
        <v>122</v>
      </c>
      <c r="B273" s="101" t="s">
        <v>117</v>
      </c>
      <c r="C273" s="102"/>
      <c r="D273" s="11" t="s">
        <v>21</v>
      </c>
      <c r="E273" s="11"/>
      <c r="F273" s="12">
        <f>WORKDAY(G270,-4)</f>
        <v>46139</v>
      </c>
      <c r="G273" s="12">
        <f t="shared" si="35"/>
        <v>46150</v>
      </c>
      <c r="H273" s="11">
        <v>10</v>
      </c>
      <c r="I273" s="11">
        <v>3</v>
      </c>
    </row>
    <row r="274" spans="1:9">
      <c r="A274" s="11" t="s">
        <v>122</v>
      </c>
      <c r="B274" s="101" t="s">
        <v>117</v>
      </c>
      <c r="C274" s="102"/>
      <c r="D274" s="11" t="s">
        <v>24</v>
      </c>
      <c r="E274" s="11"/>
      <c r="F274" s="12">
        <f>WORKDAY(G270,-4)</f>
        <v>46139</v>
      </c>
      <c r="G274" s="12">
        <f t="shared" si="35"/>
        <v>46150</v>
      </c>
      <c r="H274" s="11">
        <v>10</v>
      </c>
      <c r="I274" s="11">
        <v>0</v>
      </c>
    </row>
    <row r="275" spans="1:9">
      <c r="A275" s="17" t="s">
        <v>122</v>
      </c>
      <c r="B275" s="103" t="s">
        <v>117</v>
      </c>
      <c r="C275" s="104"/>
      <c r="D275" s="17" t="s">
        <v>26</v>
      </c>
      <c r="E275" s="17"/>
      <c r="F275" s="18">
        <f>WORKDAY(G274,-4)</f>
        <v>46146</v>
      </c>
      <c r="G275" s="18">
        <f t="shared" si="35"/>
        <v>46157</v>
      </c>
      <c r="H275" s="17">
        <v>10</v>
      </c>
      <c r="I275" s="17">
        <v>2</v>
      </c>
    </row>
    <row r="276" spans="1:9">
      <c r="A276" s="21" t="s">
        <v>122</v>
      </c>
      <c r="B276" s="21" t="s">
        <v>117</v>
      </c>
      <c r="C276" s="20"/>
      <c r="D276" s="21" t="s">
        <v>29</v>
      </c>
      <c r="E276" s="21"/>
      <c r="F276" s="22">
        <f>WORKDAY(F275,5)</f>
        <v>46153</v>
      </c>
      <c r="G276" s="22">
        <f t="shared" si="35"/>
        <v>46157</v>
      </c>
      <c r="H276" s="21">
        <v>5</v>
      </c>
      <c r="I276" s="21">
        <v>4</v>
      </c>
    </row>
    <row r="277" spans="1:9">
      <c r="A277" s="21" t="s">
        <v>122</v>
      </c>
      <c r="B277" s="21" t="s">
        <v>117</v>
      </c>
      <c r="C277" s="20"/>
      <c r="D277" s="21" t="s">
        <v>32</v>
      </c>
      <c r="E277" s="21"/>
      <c r="F277" s="22">
        <f>WORKDAY(G275,1)</f>
        <v>46160</v>
      </c>
      <c r="G277" s="22">
        <f t="shared" si="35"/>
        <v>46164</v>
      </c>
      <c r="H277" s="21">
        <v>5</v>
      </c>
      <c r="I277" s="21">
        <v>1</v>
      </c>
    </row>
    <row r="278" spans="1:9">
      <c r="A278" s="21" t="s">
        <v>122</v>
      </c>
      <c r="B278" s="21" t="s">
        <v>117</v>
      </c>
      <c r="C278" s="20"/>
      <c r="D278" s="21" t="s">
        <v>34</v>
      </c>
      <c r="E278" s="21"/>
      <c r="F278" s="22">
        <f>WORKDAY(G272,1)</f>
        <v>46153</v>
      </c>
      <c r="G278" s="22">
        <f t="shared" si="35"/>
        <v>46164</v>
      </c>
      <c r="H278" s="21">
        <v>10</v>
      </c>
      <c r="I278" s="21">
        <v>3</v>
      </c>
    </row>
    <row r="279" spans="1:9">
      <c r="A279" s="31" t="s">
        <v>122</v>
      </c>
      <c r="B279" s="31" t="s">
        <v>117</v>
      </c>
      <c r="C279" s="30"/>
      <c r="D279" s="31" t="s">
        <v>37</v>
      </c>
      <c r="E279" s="31"/>
      <c r="F279" s="32">
        <f>WORKDAY(G278,1)</f>
        <v>46167</v>
      </c>
      <c r="G279" s="32">
        <f>WORKDAY(F279,H279-1,)</f>
        <v>46178</v>
      </c>
      <c r="H279" s="31">
        <v>10</v>
      </c>
      <c r="I279" s="128">
        <v>5</v>
      </c>
    </row>
    <row r="280" spans="1:9">
      <c r="A280" s="31" t="s">
        <v>122</v>
      </c>
      <c r="B280" s="31" t="s">
        <v>117</v>
      </c>
      <c r="C280" s="30"/>
      <c r="D280" s="31" t="s">
        <v>40</v>
      </c>
      <c r="E280" s="31"/>
      <c r="F280" s="32">
        <f>WORKDAY(G278,1)</f>
        <v>46167</v>
      </c>
      <c r="G280" s="32">
        <f t="shared" ref="G280:G292" si="36">WORKDAY(F280,H280-1,)</f>
        <v>46178</v>
      </c>
      <c r="H280" s="31">
        <v>10</v>
      </c>
      <c r="I280" s="128"/>
    </row>
    <row r="281" spans="1:9">
      <c r="A281" s="31" t="s">
        <v>122</v>
      </c>
      <c r="B281" s="31" t="s">
        <v>117</v>
      </c>
      <c r="C281" s="30"/>
      <c r="D281" s="31" t="s">
        <v>42</v>
      </c>
      <c r="E281" s="31"/>
      <c r="F281" s="32">
        <f>WORKDAY(G278,1)</f>
        <v>46167</v>
      </c>
      <c r="G281" s="32">
        <f t="shared" si="36"/>
        <v>46178</v>
      </c>
      <c r="H281" s="31">
        <v>10</v>
      </c>
      <c r="I281" s="128"/>
    </row>
    <row r="282" spans="1:9">
      <c r="A282" s="31" t="s">
        <v>122</v>
      </c>
      <c r="B282" s="31" t="s">
        <v>117</v>
      </c>
      <c r="C282" s="30"/>
      <c r="D282" s="31" t="s">
        <v>44</v>
      </c>
      <c r="E282" s="31"/>
      <c r="F282" s="32">
        <f>WORKDAY(G278,1)</f>
        <v>46167</v>
      </c>
      <c r="G282" s="32">
        <f t="shared" si="36"/>
        <v>46178</v>
      </c>
      <c r="H282" s="31">
        <v>10</v>
      </c>
      <c r="I282" s="128"/>
    </row>
    <row r="283" spans="1:9">
      <c r="A283" s="31" t="s">
        <v>122</v>
      </c>
      <c r="B283" s="31" t="s">
        <v>117</v>
      </c>
      <c r="C283" s="30"/>
      <c r="D283" s="31" t="s">
        <v>45</v>
      </c>
      <c r="E283" s="31"/>
      <c r="F283" s="32">
        <f>WORKDAY(G278,1)</f>
        <v>46167</v>
      </c>
      <c r="G283" s="32">
        <f t="shared" si="36"/>
        <v>46178</v>
      </c>
      <c r="H283" s="31">
        <v>10</v>
      </c>
      <c r="I283" s="31">
        <v>5</v>
      </c>
    </row>
    <row r="284" spans="1:9">
      <c r="A284" s="25" t="s">
        <v>122</v>
      </c>
      <c r="B284" s="25" t="s">
        <v>117</v>
      </c>
      <c r="C284" s="105"/>
      <c r="D284" s="26" t="s">
        <v>47</v>
      </c>
      <c r="E284" s="26"/>
      <c r="F284" s="27">
        <f>WORKDAY(G283,-4)</f>
        <v>46174</v>
      </c>
      <c r="G284" s="28">
        <f t="shared" si="36"/>
        <v>46185</v>
      </c>
      <c r="H284" s="26">
        <v>10</v>
      </c>
      <c r="I284" s="26">
        <v>11</v>
      </c>
    </row>
    <row r="285" spans="1:9">
      <c r="A285" s="77" t="s">
        <v>122</v>
      </c>
      <c r="B285" s="77" t="s">
        <v>117</v>
      </c>
      <c r="C285" s="98"/>
      <c r="D285" s="42" t="s">
        <v>50</v>
      </c>
      <c r="E285" s="42"/>
      <c r="F285" s="43">
        <f>WORKDAY(G283,1)</f>
        <v>46181</v>
      </c>
      <c r="G285" s="44">
        <f t="shared" si="36"/>
        <v>46181</v>
      </c>
      <c r="H285" s="42">
        <v>1</v>
      </c>
      <c r="I285" s="42">
        <v>0</v>
      </c>
    </row>
    <row r="286" spans="1:9">
      <c r="A286" s="21" t="s">
        <v>122</v>
      </c>
      <c r="B286" s="21" t="s">
        <v>117</v>
      </c>
      <c r="C286" s="20"/>
      <c r="D286" s="47" t="s">
        <v>52</v>
      </c>
      <c r="E286" s="47"/>
      <c r="F286" s="48">
        <f>WORKDAY(G284,1)</f>
        <v>46188</v>
      </c>
      <c r="G286" s="22">
        <f t="shared" si="36"/>
        <v>46199</v>
      </c>
      <c r="H286" s="47">
        <v>10</v>
      </c>
      <c r="I286" s="47">
        <v>5</v>
      </c>
    </row>
    <row r="287" spans="1:9">
      <c r="A287" s="21" t="s">
        <v>122</v>
      </c>
      <c r="B287" s="21" t="s">
        <v>117</v>
      </c>
      <c r="C287" s="20"/>
      <c r="D287" s="49" t="s">
        <v>55</v>
      </c>
      <c r="E287" s="49"/>
      <c r="F287" s="48">
        <f>WORKDAY(G284,1)</f>
        <v>46188</v>
      </c>
      <c r="G287" s="22">
        <f t="shared" si="36"/>
        <v>46199</v>
      </c>
      <c r="H287" s="47">
        <v>10</v>
      </c>
      <c r="I287" s="47">
        <v>0</v>
      </c>
    </row>
    <row r="288" spans="1:9">
      <c r="A288" s="52" t="s">
        <v>122</v>
      </c>
      <c r="B288" s="52" t="s">
        <v>117</v>
      </c>
      <c r="C288" s="51"/>
      <c r="D288" s="52" t="s">
        <v>56</v>
      </c>
      <c r="E288" s="52"/>
      <c r="F288" s="53">
        <f t="shared" ref="F288" si="37">WORKDAY(G287,1)</f>
        <v>46202</v>
      </c>
      <c r="G288" s="53">
        <f t="shared" si="36"/>
        <v>46213</v>
      </c>
      <c r="H288" s="52">
        <v>10</v>
      </c>
      <c r="I288" s="52">
        <v>7</v>
      </c>
    </row>
    <row r="289" spans="1:9">
      <c r="A289" s="52" t="s">
        <v>122</v>
      </c>
      <c r="B289" s="52" t="s">
        <v>117</v>
      </c>
      <c r="C289" s="51"/>
      <c r="D289" s="52" t="s">
        <v>59</v>
      </c>
      <c r="E289" s="52"/>
      <c r="F289" s="53">
        <f>WORKDAY(G287,1)</f>
        <v>46202</v>
      </c>
      <c r="G289" s="53">
        <f t="shared" si="36"/>
        <v>46202</v>
      </c>
      <c r="H289" s="52">
        <v>1</v>
      </c>
      <c r="I289" s="52">
        <v>5</v>
      </c>
    </row>
    <row r="290" spans="1:9">
      <c r="A290" s="56" t="s">
        <v>122</v>
      </c>
      <c r="B290" s="56" t="s">
        <v>117</v>
      </c>
      <c r="C290" s="55"/>
      <c r="D290" s="56" t="s">
        <v>62</v>
      </c>
      <c r="E290" s="56"/>
      <c r="F290" s="57">
        <f>WORKDAY(G288,-4)</f>
        <v>46209</v>
      </c>
      <c r="G290" s="57">
        <f t="shared" si="36"/>
        <v>46220</v>
      </c>
      <c r="H290" s="56">
        <v>10</v>
      </c>
      <c r="I290" s="56">
        <v>10</v>
      </c>
    </row>
    <row r="291" spans="1:9">
      <c r="A291" s="56" t="s">
        <v>122</v>
      </c>
      <c r="B291" s="56" t="s">
        <v>117</v>
      </c>
      <c r="C291" s="55"/>
      <c r="D291" s="56" t="s">
        <v>64</v>
      </c>
      <c r="E291" s="56"/>
      <c r="F291" s="57">
        <f>WORKDAY(F290,1)</f>
        <v>46210</v>
      </c>
      <c r="G291" s="57">
        <f t="shared" si="36"/>
        <v>46220</v>
      </c>
      <c r="H291" s="56">
        <v>9</v>
      </c>
      <c r="I291" s="56">
        <v>0</v>
      </c>
    </row>
    <row r="292" spans="1:9">
      <c r="A292" s="31" t="s">
        <v>122</v>
      </c>
      <c r="B292" s="31" t="s">
        <v>117</v>
      </c>
      <c r="C292" s="30"/>
      <c r="D292" s="58" t="s">
        <v>65</v>
      </c>
      <c r="E292" s="58"/>
      <c r="F292" s="59">
        <f>WORKDAY(G290,1)</f>
        <v>46223</v>
      </c>
      <c r="G292" s="32">
        <f t="shared" si="36"/>
        <v>46234</v>
      </c>
      <c r="H292" s="58">
        <v>10</v>
      </c>
      <c r="I292" s="58">
        <v>4</v>
      </c>
    </row>
    <row r="293" spans="1:9">
      <c r="A293" s="106" t="s">
        <v>122</v>
      </c>
      <c r="B293" s="107" t="s">
        <v>117</v>
      </c>
      <c r="C293" s="108"/>
      <c r="D293" s="64" t="s">
        <v>68</v>
      </c>
      <c r="E293" s="64"/>
      <c r="F293" s="65">
        <f>WORKDAY(G292,1)</f>
        <v>46237</v>
      </c>
      <c r="G293" s="65">
        <f>WORKDAY(F293,H293-1,)</f>
        <v>46248</v>
      </c>
      <c r="H293" s="64">
        <v>10</v>
      </c>
      <c r="I293" s="130">
        <v>4</v>
      </c>
    </row>
    <row r="294" spans="1:9">
      <c r="A294" s="106" t="s">
        <v>122</v>
      </c>
      <c r="B294" s="107" t="s">
        <v>117</v>
      </c>
      <c r="C294" s="108"/>
      <c r="D294" s="64" t="s">
        <v>71</v>
      </c>
      <c r="E294" s="64"/>
      <c r="F294" s="65">
        <f>WORKDAY(G292,1)</f>
        <v>46237</v>
      </c>
      <c r="G294" s="65">
        <f t="shared" ref="G294:G296" si="38">WORKDAY(F293,H293-1,)</f>
        <v>46248</v>
      </c>
      <c r="H294" s="64">
        <v>10</v>
      </c>
      <c r="I294" s="130"/>
    </row>
    <row r="295" spans="1:9">
      <c r="A295" s="106" t="s">
        <v>122</v>
      </c>
      <c r="B295" s="107" t="s">
        <v>117</v>
      </c>
      <c r="C295" s="108"/>
      <c r="D295" s="64" t="s">
        <v>72</v>
      </c>
      <c r="E295" s="64"/>
      <c r="F295" s="65">
        <f>WORKDAY(G292,1)</f>
        <v>46237</v>
      </c>
      <c r="G295" s="65">
        <f t="shared" si="38"/>
        <v>46248</v>
      </c>
      <c r="H295" s="64">
        <v>10</v>
      </c>
      <c r="I295" s="130"/>
    </row>
    <row r="296" spans="1:9">
      <c r="A296" s="106" t="s">
        <v>122</v>
      </c>
      <c r="B296" s="107" t="s">
        <v>117</v>
      </c>
      <c r="C296" s="108"/>
      <c r="D296" s="64" t="s">
        <v>73</v>
      </c>
      <c r="E296" s="64"/>
      <c r="F296" s="65">
        <f>WORKDAY(G292,1)</f>
        <v>46237</v>
      </c>
      <c r="G296" s="65">
        <f t="shared" si="38"/>
        <v>46248</v>
      </c>
      <c r="H296" s="64">
        <v>10</v>
      </c>
      <c r="I296" s="130"/>
    </row>
    <row r="297" spans="1:9">
      <c r="A297" s="107" t="s">
        <v>122</v>
      </c>
      <c r="B297" s="107" t="s">
        <v>117</v>
      </c>
      <c r="C297" s="108"/>
      <c r="D297" s="64" t="s">
        <v>74</v>
      </c>
      <c r="E297" s="64"/>
      <c r="F297" s="65">
        <f>WORKDAY(G292,1)</f>
        <v>46237</v>
      </c>
      <c r="G297" s="66">
        <f>WORKDAY(F297,H297-1,)</f>
        <v>46248</v>
      </c>
      <c r="H297" s="64">
        <v>10</v>
      </c>
      <c r="I297" s="64">
        <v>6</v>
      </c>
    </row>
    <row r="298" spans="1:9">
      <c r="A298" s="107" t="s">
        <v>122</v>
      </c>
      <c r="B298" s="107" t="s">
        <v>117</v>
      </c>
      <c r="C298" s="108"/>
      <c r="D298" s="64" t="s">
        <v>77</v>
      </c>
      <c r="E298" s="64"/>
      <c r="F298" s="65">
        <f>WORKDAY(G292,1)</f>
        <v>46237</v>
      </c>
      <c r="G298" s="66">
        <f t="shared" ref="G298:G320" si="39">WORKDAY(F298,H298-1,)</f>
        <v>46248</v>
      </c>
      <c r="H298" s="64">
        <v>10</v>
      </c>
      <c r="I298" s="64">
        <v>1</v>
      </c>
    </row>
    <row r="299" spans="1:9">
      <c r="A299" s="107" t="s">
        <v>122</v>
      </c>
      <c r="B299" s="107" t="s">
        <v>117</v>
      </c>
      <c r="C299" s="108"/>
      <c r="D299" s="64" t="s">
        <v>80</v>
      </c>
      <c r="E299" s="64"/>
      <c r="F299" s="65">
        <f>WORKDAY(G292,1)</f>
        <v>46237</v>
      </c>
      <c r="G299" s="66">
        <f t="shared" si="39"/>
        <v>46248</v>
      </c>
      <c r="H299" s="64">
        <v>10</v>
      </c>
      <c r="I299" s="64">
        <v>0</v>
      </c>
    </row>
    <row r="300" spans="1:9">
      <c r="A300" s="107" t="s">
        <v>122</v>
      </c>
      <c r="B300" s="107" t="s">
        <v>117</v>
      </c>
      <c r="C300" s="108"/>
      <c r="D300" s="64" t="s">
        <v>81</v>
      </c>
      <c r="E300" s="64"/>
      <c r="F300" s="65">
        <f>WORKDAY(G292,1)</f>
        <v>46237</v>
      </c>
      <c r="G300" s="66">
        <f t="shared" si="39"/>
        <v>46248</v>
      </c>
      <c r="H300" s="64">
        <v>10</v>
      </c>
      <c r="I300" s="64">
        <v>4</v>
      </c>
    </row>
    <row r="301" spans="1:9">
      <c r="A301" s="70" t="s">
        <v>122</v>
      </c>
      <c r="B301" s="70" t="s">
        <v>117</v>
      </c>
      <c r="C301" s="69"/>
      <c r="D301" s="70" t="s">
        <v>82</v>
      </c>
      <c r="E301" s="70"/>
      <c r="F301" s="71">
        <f t="shared" ref="F301" si="40">WORKDAY(G300,1)</f>
        <v>46251</v>
      </c>
      <c r="G301" s="71">
        <f t="shared" si="39"/>
        <v>46262</v>
      </c>
      <c r="H301" s="70">
        <v>10</v>
      </c>
      <c r="I301" s="70">
        <v>4</v>
      </c>
    </row>
    <row r="302" spans="1:9">
      <c r="A302" s="77" t="s">
        <v>122</v>
      </c>
      <c r="B302" s="77" t="s">
        <v>117</v>
      </c>
      <c r="C302" s="98"/>
      <c r="D302" s="75" t="s">
        <v>85</v>
      </c>
      <c r="E302" s="75"/>
      <c r="F302" s="76">
        <f>WORKDAY(G301,-1)</f>
        <v>46261</v>
      </c>
      <c r="G302" s="44">
        <f t="shared" si="39"/>
        <v>46265</v>
      </c>
      <c r="H302" s="75">
        <v>3</v>
      </c>
      <c r="I302" s="75">
        <v>12</v>
      </c>
    </row>
    <row r="303" spans="1:9">
      <c r="A303" s="77" t="s">
        <v>122</v>
      </c>
      <c r="B303" s="77" t="s">
        <v>117</v>
      </c>
      <c r="C303" s="98"/>
      <c r="D303" s="75" t="s">
        <v>86</v>
      </c>
      <c r="E303" s="75"/>
      <c r="F303" s="76">
        <f>WORKDAY(G301,1)</f>
        <v>46265</v>
      </c>
      <c r="G303" s="44">
        <f t="shared" si="39"/>
        <v>46276</v>
      </c>
      <c r="H303" s="75">
        <v>10</v>
      </c>
      <c r="I303" s="75">
        <v>0</v>
      </c>
    </row>
    <row r="304" spans="1:9">
      <c r="A304" s="78" t="s">
        <v>122</v>
      </c>
      <c r="B304" s="78" t="s">
        <v>117</v>
      </c>
      <c r="C304" s="109"/>
      <c r="D304" s="79" t="s">
        <v>87</v>
      </c>
      <c r="E304" s="79"/>
      <c r="F304" s="81">
        <f>WORKDAY(F302,4)</f>
        <v>46267</v>
      </c>
      <c r="G304" s="82">
        <f t="shared" si="39"/>
        <v>46280</v>
      </c>
      <c r="H304" s="79">
        <v>10</v>
      </c>
      <c r="I304" s="79">
        <v>4</v>
      </c>
    </row>
    <row r="305" spans="1:9">
      <c r="A305" s="83" t="s">
        <v>122</v>
      </c>
      <c r="B305" s="83" t="s">
        <v>117</v>
      </c>
      <c r="C305" s="84"/>
      <c r="D305" s="83" t="s">
        <v>89</v>
      </c>
      <c r="E305" s="83"/>
      <c r="F305" s="85">
        <f>WORKDAY(F304,3)</f>
        <v>46272</v>
      </c>
      <c r="G305" s="85">
        <f t="shared" si="39"/>
        <v>46283</v>
      </c>
      <c r="H305" s="83">
        <v>10</v>
      </c>
      <c r="I305" s="127">
        <v>1</v>
      </c>
    </row>
    <row r="306" spans="1:9">
      <c r="A306" s="83" t="s">
        <v>122</v>
      </c>
      <c r="B306" s="83" t="s">
        <v>117</v>
      </c>
      <c r="C306" s="84"/>
      <c r="D306" s="83" t="s">
        <v>91</v>
      </c>
      <c r="E306" s="83"/>
      <c r="F306" s="85">
        <f>WORKDAY(F304,3)</f>
        <v>46272</v>
      </c>
      <c r="G306" s="85">
        <f t="shared" si="39"/>
        <v>46283</v>
      </c>
      <c r="H306" s="83">
        <v>10</v>
      </c>
      <c r="I306" s="127"/>
    </row>
    <row r="307" spans="1:9">
      <c r="A307" s="83" t="s">
        <v>122</v>
      </c>
      <c r="B307" s="83" t="s">
        <v>117</v>
      </c>
      <c r="C307" s="84"/>
      <c r="D307" s="83" t="s">
        <v>92</v>
      </c>
      <c r="E307" s="83"/>
      <c r="F307" s="85">
        <f>WORKDAY(F304,3)</f>
        <v>46272</v>
      </c>
      <c r="G307" s="85">
        <f t="shared" si="39"/>
        <v>46283</v>
      </c>
      <c r="H307" s="83">
        <v>10</v>
      </c>
      <c r="I307" s="127"/>
    </row>
    <row r="308" spans="1:9">
      <c r="A308" s="83" t="s">
        <v>122</v>
      </c>
      <c r="B308" s="83" t="s">
        <v>117</v>
      </c>
      <c r="C308" s="84"/>
      <c r="D308" s="83" t="s">
        <v>93</v>
      </c>
      <c r="E308" s="83"/>
      <c r="F308" s="85">
        <f>WORKDAY(F304,3)</f>
        <v>46272</v>
      </c>
      <c r="G308" s="85">
        <f t="shared" si="39"/>
        <v>46283</v>
      </c>
      <c r="H308" s="83">
        <v>10</v>
      </c>
      <c r="I308" s="127"/>
    </row>
    <row r="309" spans="1:9">
      <c r="A309" s="83" t="s">
        <v>122</v>
      </c>
      <c r="B309" s="83" t="s">
        <v>117</v>
      </c>
      <c r="C309" s="84"/>
      <c r="D309" s="83" t="s">
        <v>94</v>
      </c>
      <c r="E309" s="83"/>
      <c r="F309" s="85">
        <f>WORKDAY(F304,3)</f>
        <v>46272</v>
      </c>
      <c r="G309" s="85">
        <f t="shared" si="39"/>
        <v>46283</v>
      </c>
      <c r="H309" s="83">
        <v>10</v>
      </c>
      <c r="I309" s="83">
        <v>1</v>
      </c>
    </row>
    <row r="310" spans="1:9">
      <c r="A310" s="86" t="s">
        <v>122</v>
      </c>
      <c r="B310" s="86" t="s">
        <v>117</v>
      </c>
      <c r="C310" s="87"/>
      <c r="D310" s="86" t="s">
        <v>95</v>
      </c>
      <c r="E310" s="86"/>
      <c r="F310" s="88">
        <f>WORKDAY(F309,3)</f>
        <v>46275</v>
      </c>
      <c r="G310" s="88">
        <f t="shared" si="39"/>
        <v>46283</v>
      </c>
      <c r="H310" s="86">
        <v>7</v>
      </c>
      <c r="I310" s="86">
        <v>0</v>
      </c>
    </row>
    <row r="311" spans="1:9">
      <c r="A311" s="89" t="s">
        <v>122</v>
      </c>
      <c r="B311" s="89" t="s">
        <v>117</v>
      </c>
      <c r="C311" s="90"/>
      <c r="D311" s="89" t="s">
        <v>96</v>
      </c>
      <c r="E311" s="89"/>
      <c r="F311" s="91">
        <f>WORKDAY(F310,2)</f>
        <v>46279</v>
      </c>
      <c r="G311" s="91">
        <f t="shared" si="39"/>
        <v>46290</v>
      </c>
      <c r="H311" s="89">
        <v>10</v>
      </c>
      <c r="I311" s="89">
        <v>2</v>
      </c>
    </row>
    <row r="312" spans="1:9">
      <c r="A312" s="89" t="s">
        <v>122</v>
      </c>
      <c r="B312" s="89" t="s">
        <v>117</v>
      </c>
      <c r="C312" s="90"/>
      <c r="D312" s="89" t="s">
        <v>98</v>
      </c>
      <c r="E312" s="89"/>
      <c r="F312" s="91">
        <f>WORKDAY(F310,2)</f>
        <v>46279</v>
      </c>
      <c r="G312" s="91">
        <f t="shared" si="39"/>
        <v>46290</v>
      </c>
      <c r="H312" s="89">
        <v>10</v>
      </c>
      <c r="I312" s="89">
        <v>9</v>
      </c>
    </row>
    <row r="313" spans="1:9">
      <c r="A313" s="89" t="s">
        <v>122</v>
      </c>
      <c r="B313" s="89" t="s">
        <v>117</v>
      </c>
      <c r="C313" s="90"/>
      <c r="D313" s="89" t="s">
        <v>101</v>
      </c>
      <c r="E313" s="89"/>
      <c r="F313" s="91">
        <f>WORKDAY(F310,2)</f>
        <v>46279</v>
      </c>
      <c r="G313" s="91">
        <f t="shared" si="39"/>
        <v>46290</v>
      </c>
      <c r="H313" s="89">
        <v>10</v>
      </c>
      <c r="I313" s="89">
        <v>0</v>
      </c>
    </row>
    <row r="314" spans="1:9">
      <c r="A314" s="38" t="s">
        <v>122</v>
      </c>
      <c r="B314" s="38" t="s">
        <v>117</v>
      </c>
      <c r="C314" s="92"/>
      <c r="D314" s="38" t="s">
        <v>103</v>
      </c>
      <c r="E314" s="38"/>
      <c r="F314" s="93">
        <f>WORKDAY(G312,-4)</f>
        <v>46286</v>
      </c>
      <c r="G314" s="93">
        <f t="shared" si="39"/>
        <v>46288</v>
      </c>
      <c r="H314" s="38">
        <v>3</v>
      </c>
      <c r="I314" s="38">
        <v>0</v>
      </c>
    </row>
    <row r="315" spans="1:9">
      <c r="A315" s="38" t="s">
        <v>122</v>
      </c>
      <c r="B315" s="38" t="s">
        <v>117</v>
      </c>
      <c r="C315" s="92"/>
      <c r="D315" s="38" t="s">
        <v>106</v>
      </c>
      <c r="E315" s="38"/>
      <c r="F315" s="93">
        <f>WORKDAY(G312,-4)</f>
        <v>46286</v>
      </c>
      <c r="G315" s="93">
        <f t="shared" si="39"/>
        <v>46297</v>
      </c>
      <c r="H315" s="38">
        <v>10</v>
      </c>
      <c r="I315" s="38">
        <v>10</v>
      </c>
    </row>
    <row r="316" spans="1:9">
      <c r="A316" s="38" t="s">
        <v>122</v>
      </c>
      <c r="B316" s="38" t="s">
        <v>117</v>
      </c>
      <c r="C316" s="92"/>
      <c r="D316" s="38" t="s">
        <v>108</v>
      </c>
      <c r="E316" s="38"/>
      <c r="F316" s="93">
        <f>WORKDAY(G312,-4)</f>
        <v>46286</v>
      </c>
      <c r="G316" s="93">
        <f t="shared" si="39"/>
        <v>46297</v>
      </c>
      <c r="H316" s="38">
        <v>10</v>
      </c>
      <c r="I316" s="38">
        <v>6</v>
      </c>
    </row>
    <row r="317" spans="1:9">
      <c r="A317" s="94" t="s">
        <v>122</v>
      </c>
      <c r="B317" s="94" t="s">
        <v>117</v>
      </c>
      <c r="C317" s="95"/>
      <c r="D317" s="96" t="s">
        <v>109</v>
      </c>
      <c r="E317" s="96"/>
      <c r="F317" s="97">
        <f>WORKDAY(G312,1)</f>
        <v>46293</v>
      </c>
      <c r="G317" s="97">
        <f t="shared" si="39"/>
        <v>46304</v>
      </c>
      <c r="H317" s="94">
        <v>10</v>
      </c>
      <c r="I317" s="94">
        <v>0</v>
      </c>
    </row>
    <row r="318" spans="1:9">
      <c r="A318" s="94" t="s">
        <v>122</v>
      </c>
      <c r="B318" s="94" t="s">
        <v>117</v>
      </c>
      <c r="C318" s="95"/>
      <c r="D318" s="96" t="s">
        <v>112</v>
      </c>
      <c r="E318" s="96"/>
      <c r="F318" s="97">
        <f>WORKDAY(G312,1)</f>
        <v>46293</v>
      </c>
      <c r="G318" s="97">
        <f t="shared" si="39"/>
        <v>46304</v>
      </c>
      <c r="H318" s="94">
        <v>10</v>
      </c>
      <c r="I318" s="94">
        <v>0</v>
      </c>
    </row>
    <row r="319" spans="1:9">
      <c r="A319" s="77" t="s">
        <v>122</v>
      </c>
      <c r="B319" s="77" t="s">
        <v>117</v>
      </c>
      <c r="C319" s="98"/>
      <c r="D319" s="77" t="s">
        <v>113</v>
      </c>
      <c r="E319" s="77"/>
      <c r="F319" s="44">
        <f>WORKDAY(G317,-4)</f>
        <v>46300</v>
      </c>
      <c r="G319" s="44">
        <f t="shared" si="39"/>
        <v>46304</v>
      </c>
      <c r="H319" s="77">
        <v>5</v>
      </c>
      <c r="I319" s="77">
        <v>1</v>
      </c>
    </row>
    <row r="320" spans="1:9">
      <c r="A320" s="77" t="s">
        <v>122</v>
      </c>
      <c r="B320" s="77" t="s">
        <v>117</v>
      </c>
      <c r="C320" s="98"/>
      <c r="D320" s="77" t="s">
        <v>116</v>
      </c>
      <c r="E320" s="77"/>
      <c r="F320" s="44">
        <f>WORKDAY(G317,-4)</f>
        <v>46300</v>
      </c>
      <c r="G320" s="44">
        <f t="shared" si="39"/>
        <v>46304</v>
      </c>
      <c r="H320" s="77">
        <v>5</v>
      </c>
      <c r="I320" s="77">
        <v>0</v>
      </c>
    </row>
    <row r="321" spans="1:9">
      <c r="A321" s="5" t="s">
        <v>122</v>
      </c>
      <c r="B321" s="99" t="s">
        <v>118</v>
      </c>
      <c r="C321" s="100"/>
      <c r="D321" s="6" t="s">
        <v>11</v>
      </c>
      <c r="E321" s="6"/>
      <c r="F321" s="8">
        <f>WORKDAY(G270,1)</f>
        <v>46146</v>
      </c>
      <c r="G321" s="8">
        <f>WORKDAY(F321,H321-1,)</f>
        <v>46157</v>
      </c>
      <c r="H321" s="6">
        <v>10</v>
      </c>
      <c r="I321" s="6">
        <v>36</v>
      </c>
    </row>
    <row r="322" spans="1:9">
      <c r="A322" s="5" t="s">
        <v>122</v>
      </c>
      <c r="B322" s="99" t="s">
        <v>118</v>
      </c>
      <c r="C322" s="100"/>
      <c r="D322" s="6" t="s">
        <v>13</v>
      </c>
      <c r="E322" s="6"/>
      <c r="F322" s="8">
        <f>WORKDAY(G270,1)</f>
        <v>46146</v>
      </c>
      <c r="G322" s="8">
        <f t="shared" ref="G322" si="41">WORKDAY(F322,H322-1,)</f>
        <v>46157</v>
      </c>
      <c r="H322" s="6">
        <v>10</v>
      </c>
      <c r="I322" s="6">
        <v>1</v>
      </c>
    </row>
    <row r="323" spans="1:9">
      <c r="A323" s="5" t="s">
        <v>122</v>
      </c>
      <c r="B323" s="99" t="s">
        <v>118</v>
      </c>
      <c r="C323" s="100"/>
      <c r="D323" s="6" t="s">
        <v>15</v>
      </c>
      <c r="E323" s="6"/>
      <c r="F323" s="8">
        <f>WORKDAY(G270,1)</f>
        <v>46146</v>
      </c>
      <c r="G323" s="8">
        <f>WORKDAY(F323,H323-1,)</f>
        <v>46157</v>
      </c>
      <c r="H323" s="6">
        <v>10</v>
      </c>
      <c r="I323" s="6">
        <v>1</v>
      </c>
    </row>
    <row r="324" spans="1:9">
      <c r="A324" s="11" t="s">
        <v>122</v>
      </c>
      <c r="B324" s="101" t="s">
        <v>118</v>
      </c>
      <c r="C324" s="102"/>
      <c r="D324" s="11" t="s">
        <v>16</v>
      </c>
      <c r="E324" s="11"/>
      <c r="F324" s="12">
        <f>WORKDAY(G323,-4)</f>
        <v>46153</v>
      </c>
      <c r="G324" s="12">
        <f t="shared" ref="G324:G331" si="42">WORKDAY(F324,H324-1,)</f>
        <v>46164</v>
      </c>
      <c r="H324" s="11">
        <v>10</v>
      </c>
      <c r="I324" s="11">
        <v>5</v>
      </c>
    </row>
    <row r="325" spans="1:9">
      <c r="A325" s="11" t="s">
        <v>122</v>
      </c>
      <c r="B325" s="101" t="s">
        <v>118</v>
      </c>
      <c r="C325" s="102"/>
      <c r="D325" s="11" t="s">
        <v>18</v>
      </c>
      <c r="E325" s="11"/>
      <c r="F325" s="12">
        <f>WORKDAY(G323,-4)</f>
        <v>46153</v>
      </c>
      <c r="G325" s="12">
        <f t="shared" si="42"/>
        <v>46164</v>
      </c>
      <c r="H325" s="11">
        <v>10</v>
      </c>
      <c r="I325" s="13">
        <v>4</v>
      </c>
    </row>
    <row r="326" spans="1:9">
      <c r="A326" s="11" t="s">
        <v>122</v>
      </c>
      <c r="B326" s="101" t="s">
        <v>118</v>
      </c>
      <c r="C326" s="102"/>
      <c r="D326" s="11" t="s">
        <v>21</v>
      </c>
      <c r="E326" s="11"/>
      <c r="F326" s="12">
        <f>WORKDAY(G323,-4)</f>
        <v>46153</v>
      </c>
      <c r="G326" s="12">
        <f t="shared" si="42"/>
        <v>46164</v>
      </c>
      <c r="H326" s="11">
        <v>10</v>
      </c>
      <c r="I326" s="11">
        <v>3</v>
      </c>
    </row>
    <row r="327" spans="1:9">
      <c r="A327" s="11" t="s">
        <v>122</v>
      </c>
      <c r="B327" s="101" t="s">
        <v>118</v>
      </c>
      <c r="C327" s="102"/>
      <c r="D327" s="11" t="s">
        <v>24</v>
      </c>
      <c r="E327" s="11"/>
      <c r="F327" s="12">
        <f>WORKDAY(G323,-4)</f>
        <v>46153</v>
      </c>
      <c r="G327" s="12">
        <f t="shared" si="42"/>
        <v>46164</v>
      </c>
      <c r="H327" s="11">
        <v>10</v>
      </c>
      <c r="I327" s="11">
        <v>0</v>
      </c>
    </row>
    <row r="328" spans="1:9">
      <c r="A328" s="17" t="s">
        <v>122</v>
      </c>
      <c r="B328" s="103" t="s">
        <v>118</v>
      </c>
      <c r="C328" s="104"/>
      <c r="D328" s="17" t="s">
        <v>26</v>
      </c>
      <c r="E328" s="17"/>
      <c r="F328" s="18">
        <f>WORKDAY(G327,-4)</f>
        <v>46160</v>
      </c>
      <c r="G328" s="18">
        <f t="shared" si="42"/>
        <v>46171</v>
      </c>
      <c r="H328" s="17">
        <v>10</v>
      </c>
      <c r="I328" s="17">
        <v>2</v>
      </c>
    </row>
    <row r="329" spans="1:9">
      <c r="A329" s="21" t="s">
        <v>122</v>
      </c>
      <c r="B329" s="21" t="s">
        <v>118</v>
      </c>
      <c r="C329" s="20"/>
      <c r="D329" s="21" t="s">
        <v>29</v>
      </c>
      <c r="E329" s="21"/>
      <c r="F329" s="22">
        <f>WORKDAY(F328,5)</f>
        <v>46167</v>
      </c>
      <c r="G329" s="22">
        <f t="shared" si="42"/>
        <v>46171</v>
      </c>
      <c r="H329" s="21">
        <v>5</v>
      </c>
      <c r="I329" s="21">
        <v>4</v>
      </c>
    </row>
    <row r="330" spans="1:9">
      <c r="A330" s="21" t="s">
        <v>122</v>
      </c>
      <c r="B330" s="21" t="s">
        <v>118</v>
      </c>
      <c r="C330" s="20"/>
      <c r="D330" s="21" t="s">
        <v>32</v>
      </c>
      <c r="E330" s="21"/>
      <c r="F330" s="22">
        <f>WORKDAY(G328,1)</f>
        <v>46174</v>
      </c>
      <c r="G330" s="22">
        <f t="shared" si="42"/>
        <v>46178</v>
      </c>
      <c r="H330" s="21">
        <v>5</v>
      </c>
      <c r="I330" s="21">
        <v>1</v>
      </c>
    </row>
    <row r="331" spans="1:9">
      <c r="A331" s="21" t="s">
        <v>122</v>
      </c>
      <c r="B331" s="21" t="s">
        <v>118</v>
      </c>
      <c r="C331" s="20"/>
      <c r="D331" s="21" t="s">
        <v>34</v>
      </c>
      <c r="E331" s="21"/>
      <c r="F331" s="22">
        <f>WORKDAY(G325,1)</f>
        <v>46167</v>
      </c>
      <c r="G331" s="22">
        <f t="shared" si="42"/>
        <v>46178</v>
      </c>
      <c r="H331" s="21">
        <v>10</v>
      </c>
      <c r="I331" s="21">
        <v>3</v>
      </c>
    </row>
    <row r="332" spans="1:9">
      <c r="A332" s="31" t="s">
        <v>122</v>
      </c>
      <c r="B332" s="31" t="s">
        <v>118</v>
      </c>
      <c r="C332" s="30"/>
      <c r="D332" s="31" t="s">
        <v>37</v>
      </c>
      <c r="E332" s="31"/>
      <c r="F332" s="32">
        <f>WORKDAY(G331,1)</f>
        <v>46181</v>
      </c>
      <c r="G332" s="32">
        <f>WORKDAY(F332,H332-1,)</f>
        <v>46192</v>
      </c>
      <c r="H332" s="31">
        <v>10</v>
      </c>
      <c r="I332" s="128">
        <v>5</v>
      </c>
    </row>
    <row r="333" spans="1:9">
      <c r="A333" s="31" t="s">
        <v>122</v>
      </c>
      <c r="B333" s="31" t="s">
        <v>118</v>
      </c>
      <c r="C333" s="30"/>
      <c r="D333" s="31" t="s">
        <v>40</v>
      </c>
      <c r="E333" s="31"/>
      <c r="F333" s="32">
        <f>WORKDAY(G331,1)</f>
        <v>46181</v>
      </c>
      <c r="G333" s="32">
        <f t="shared" ref="G333:G345" si="43">WORKDAY(F333,H333-1,)</f>
        <v>46192</v>
      </c>
      <c r="H333" s="31">
        <v>10</v>
      </c>
      <c r="I333" s="128"/>
    </row>
    <row r="334" spans="1:9">
      <c r="A334" s="31" t="s">
        <v>122</v>
      </c>
      <c r="B334" s="31" t="s">
        <v>118</v>
      </c>
      <c r="C334" s="30"/>
      <c r="D334" s="31" t="s">
        <v>42</v>
      </c>
      <c r="E334" s="31"/>
      <c r="F334" s="32">
        <f>WORKDAY(G331,1)</f>
        <v>46181</v>
      </c>
      <c r="G334" s="32">
        <f t="shared" si="43"/>
        <v>46192</v>
      </c>
      <c r="H334" s="31">
        <v>10</v>
      </c>
      <c r="I334" s="128"/>
    </row>
    <row r="335" spans="1:9">
      <c r="A335" s="31" t="s">
        <v>122</v>
      </c>
      <c r="B335" s="31" t="s">
        <v>118</v>
      </c>
      <c r="C335" s="30"/>
      <c r="D335" s="31" t="s">
        <v>44</v>
      </c>
      <c r="E335" s="31"/>
      <c r="F335" s="32">
        <f>WORKDAY(G331,1)</f>
        <v>46181</v>
      </c>
      <c r="G335" s="32">
        <f t="shared" si="43"/>
        <v>46192</v>
      </c>
      <c r="H335" s="31">
        <v>10</v>
      </c>
      <c r="I335" s="128"/>
    </row>
    <row r="336" spans="1:9">
      <c r="A336" s="31" t="s">
        <v>122</v>
      </c>
      <c r="B336" s="31" t="s">
        <v>118</v>
      </c>
      <c r="C336" s="30"/>
      <c r="D336" s="31" t="s">
        <v>45</v>
      </c>
      <c r="E336" s="31"/>
      <c r="F336" s="32">
        <f>WORKDAY(G331,1)</f>
        <v>46181</v>
      </c>
      <c r="G336" s="32">
        <f t="shared" si="43"/>
        <v>46192</v>
      </c>
      <c r="H336" s="31">
        <v>10</v>
      </c>
      <c r="I336" s="31">
        <v>5</v>
      </c>
    </row>
    <row r="337" spans="1:9">
      <c r="A337" s="25" t="s">
        <v>122</v>
      </c>
      <c r="B337" s="25" t="s">
        <v>118</v>
      </c>
      <c r="C337" s="105"/>
      <c r="D337" s="26" t="s">
        <v>47</v>
      </c>
      <c r="E337" s="26"/>
      <c r="F337" s="27">
        <f>WORKDAY(G336,-4)</f>
        <v>46188</v>
      </c>
      <c r="G337" s="28">
        <f t="shared" si="43"/>
        <v>46199</v>
      </c>
      <c r="H337" s="26">
        <v>10</v>
      </c>
      <c r="I337" s="26">
        <v>11</v>
      </c>
    </row>
    <row r="338" spans="1:9">
      <c r="A338" s="77" t="s">
        <v>122</v>
      </c>
      <c r="B338" s="77" t="s">
        <v>118</v>
      </c>
      <c r="C338" s="98"/>
      <c r="D338" s="42" t="s">
        <v>50</v>
      </c>
      <c r="E338" s="42"/>
      <c r="F338" s="43">
        <f>WORKDAY(G336,1)</f>
        <v>46195</v>
      </c>
      <c r="G338" s="44">
        <f t="shared" si="43"/>
        <v>46195</v>
      </c>
      <c r="H338" s="42">
        <v>1</v>
      </c>
      <c r="I338" s="42">
        <v>0</v>
      </c>
    </row>
    <row r="339" spans="1:9">
      <c r="A339" s="21" t="s">
        <v>122</v>
      </c>
      <c r="B339" s="21" t="s">
        <v>118</v>
      </c>
      <c r="C339" s="20"/>
      <c r="D339" s="47" t="s">
        <v>52</v>
      </c>
      <c r="E339" s="47"/>
      <c r="F339" s="48">
        <f>WORKDAY(G337,1)</f>
        <v>46202</v>
      </c>
      <c r="G339" s="22">
        <f t="shared" si="43"/>
        <v>46213</v>
      </c>
      <c r="H339" s="47">
        <v>10</v>
      </c>
      <c r="I339" s="47">
        <v>5</v>
      </c>
    </row>
    <row r="340" spans="1:9">
      <c r="A340" s="21" t="s">
        <v>122</v>
      </c>
      <c r="B340" s="21" t="s">
        <v>118</v>
      </c>
      <c r="C340" s="20"/>
      <c r="D340" s="49" t="s">
        <v>55</v>
      </c>
      <c r="E340" s="49"/>
      <c r="F340" s="48">
        <f>WORKDAY(G337,1)</f>
        <v>46202</v>
      </c>
      <c r="G340" s="22">
        <f t="shared" si="43"/>
        <v>46213</v>
      </c>
      <c r="H340" s="47">
        <v>10</v>
      </c>
      <c r="I340" s="47">
        <v>0</v>
      </c>
    </row>
    <row r="341" spans="1:9">
      <c r="A341" s="52" t="s">
        <v>122</v>
      </c>
      <c r="B341" s="110" t="s">
        <v>118</v>
      </c>
      <c r="C341" s="111"/>
      <c r="D341" s="52" t="s">
        <v>56</v>
      </c>
      <c r="E341" s="52"/>
      <c r="F341" s="53">
        <f t="shared" ref="F341" si="44">WORKDAY(G340,1)</f>
        <v>46216</v>
      </c>
      <c r="G341" s="53">
        <f t="shared" si="43"/>
        <v>46227</v>
      </c>
      <c r="H341" s="52">
        <v>10</v>
      </c>
      <c r="I341" s="52">
        <v>7</v>
      </c>
    </row>
    <row r="342" spans="1:9">
      <c r="A342" s="52" t="s">
        <v>122</v>
      </c>
      <c r="B342" s="110" t="s">
        <v>118</v>
      </c>
      <c r="C342" s="111"/>
      <c r="D342" s="52" t="s">
        <v>59</v>
      </c>
      <c r="E342" s="52"/>
      <c r="F342" s="53">
        <f>WORKDAY(G340,1)</f>
        <v>46216</v>
      </c>
      <c r="G342" s="53">
        <f t="shared" si="43"/>
        <v>46216</v>
      </c>
      <c r="H342" s="52">
        <v>1</v>
      </c>
      <c r="I342" s="52">
        <v>5</v>
      </c>
    </row>
    <row r="343" spans="1:9">
      <c r="A343" s="56" t="s">
        <v>122</v>
      </c>
      <c r="B343" s="112" t="s">
        <v>118</v>
      </c>
      <c r="C343" s="113"/>
      <c r="D343" s="56" t="s">
        <v>62</v>
      </c>
      <c r="E343" s="56"/>
      <c r="F343" s="57">
        <f>WORKDAY(G341,-4)</f>
        <v>46223</v>
      </c>
      <c r="G343" s="57">
        <f t="shared" si="43"/>
        <v>46234</v>
      </c>
      <c r="H343" s="56">
        <v>10</v>
      </c>
      <c r="I343" s="56">
        <v>10</v>
      </c>
    </row>
    <row r="344" spans="1:9">
      <c r="A344" s="56" t="s">
        <v>122</v>
      </c>
      <c r="B344" s="112" t="s">
        <v>118</v>
      </c>
      <c r="C344" s="113"/>
      <c r="D344" s="56" t="s">
        <v>64</v>
      </c>
      <c r="E344" s="56"/>
      <c r="F344" s="57">
        <f>WORKDAY(F343,1)</f>
        <v>46224</v>
      </c>
      <c r="G344" s="57">
        <f t="shared" si="43"/>
        <v>46234</v>
      </c>
      <c r="H344" s="56">
        <v>9</v>
      </c>
      <c r="I344" s="56">
        <v>0</v>
      </c>
    </row>
    <row r="345" spans="1:9">
      <c r="A345" s="31" t="s">
        <v>122</v>
      </c>
      <c r="B345" s="31" t="s">
        <v>118</v>
      </c>
      <c r="C345" s="30"/>
      <c r="D345" s="58" t="s">
        <v>65</v>
      </c>
      <c r="E345" s="58"/>
      <c r="F345" s="59">
        <f>WORKDAY(G343,1)</f>
        <v>46237</v>
      </c>
      <c r="G345" s="32">
        <f t="shared" si="43"/>
        <v>46248</v>
      </c>
      <c r="H345" s="58">
        <v>10</v>
      </c>
      <c r="I345" s="58">
        <v>4</v>
      </c>
    </row>
    <row r="346" spans="1:9">
      <c r="A346" s="106" t="s">
        <v>122</v>
      </c>
      <c r="B346" s="107" t="s">
        <v>118</v>
      </c>
      <c r="C346" s="108"/>
      <c r="D346" s="64" t="s">
        <v>68</v>
      </c>
      <c r="E346" s="64"/>
      <c r="F346" s="65">
        <f>WORKDAY(G345,1)</f>
        <v>46251</v>
      </c>
      <c r="G346" s="65">
        <f>WORKDAY(F346,H346-1,)</f>
        <v>46262</v>
      </c>
      <c r="H346" s="64">
        <v>10</v>
      </c>
      <c r="I346" s="130">
        <v>4</v>
      </c>
    </row>
    <row r="347" spans="1:9">
      <c r="A347" s="106" t="s">
        <v>122</v>
      </c>
      <c r="B347" s="107" t="s">
        <v>118</v>
      </c>
      <c r="C347" s="108"/>
      <c r="D347" s="64" t="s">
        <v>71</v>
      </c>
      <c r="E347" s="64"/>
      <c r="F347" s="65">
        <f>WORKDAY(G345,1)</f>
        <v>46251</v>
      </c>
      <c r="G347" s="65">
        <f t="shared" ref="G347:G349" si="45">WORKDAY(F346,H346-1,)</f>
        <v>46262</v>
      </c>
      <c r="H347" s="64">
        <v>10</v>
      </c>
      <c r="I347" s="130"/>
    </row>
    <row r="348" spans="1:9">
      <c r="A348" s="106" t="s">
        <v>122</v>
      </c>
      <c r="B348" s="107" t="s">
        <v>118</v>
      </c>
      <c r="C348" s="108"/>
      <c r="D348" s="64" t="s">
        <v>72</v>
      </c>
      <c r="E348" s="64"/>
      <c r="F348" s="65">
        <f>WORKDAY(G345,1)</f>
        <v>46251</v>
      </c>
      <c r="G348" s="65">
        <f t="shared" si="45"/>
        <v>46262</v>
      </c>
      <c r="H348" s="64">
        <v>10</v>
      </c>
      <c r="I348" s="130"/>
    </row>
    <row r="349" spans="1:9">
      <c r="A349" s="106" t="s">
        <v>122</v>
      </c>
      <c r="B349" s="107" t="s">
        <v>118</v>
      </c>
      <c r="C349" s="108"/>
      <c r="D349" s="64" t="s">
        <v>73</v>
      </c>
      <c r="E349" s="64"/>
      <c r="F349" s="65">
        <f>WORKDAY(G345,1)</f>
        <v>46251</v>
      </c>
      <c r="G349" s="65">
        <f t="shared" si="45"/>
        <v>46262</v>
      </c>
      <c r="H349" s="64">
        <v>10</v>
      </c>
      <c r="I349" s="130"/>
    </row>
    <row r="350" spans="1:9">
      <c r="A350" s="107" t="s">
        <v>122</v>
      </c>
      <c r="B350" s="107" t="s">
        <v>118</v>
      </c>
      <c r="C350" s="108"/>
      <c r="D350" s="64" t="s">
        <v>74</v>
      </c>
      <c r="E350" s="64"/>
      <c r="F350" s="65">
        <f>WORKDAY(G345,1)</f>
        <v>46251</v>
      </c>
      <c r="G350" s="66">
        <f>WORKDAY(F350,H350-1,)</f>
        <v>46262</v>
      </c>
      <c r="H350" s="64">
        <v>10</v>
      </c>
      <c r="I350" s="64">
        <v>6</v>
      </c>
    </row>
    <row r="351" spans="1:9">
      <c r="A351" s="107" t="s">
        <v>122</v>
      </c>
      <c r="B351" s="107" t="s">
        <v>118</v>
      </c>
      <c r="C351" s="108"/>
      <c r="D351" s="64" t="s">
        <v>77</v>
      </c>
      <c r="E351" s="64"/>
      <c r="F351" s="65">
        <f>WORKDAY(G345,1)</f>
        <v>46251</v>
      </c>
      <c r="G351" s="66">
        <f t="shared" ref="G351:G373" si="46">WORKDAY(F351,H351-1,)</f>
        <v>46262</v>
      </c>
      <c r="H351" s="64">
        <v>10</v>
      </c>
      <c r="I351" s="64">
        <v>1</v>
      </c>
    </row>
    <row r="352" spans="1:9">
      <c r="A352" s="107" t="s">
        <v>122</v>
      </c>
      <c r="B352" s="107" t="s">
        <v>118</v>
      </c>
      <c r="C352" s="108"/>
      <c r="D352" s="64" t="s">
        <v>80</v>
      </c>
      <c r="E352" s="64"/>
      <c r="F352" s="65">
        <f>WORKDAY(G345,1)</f>
        <v>46251</v>
      </c>
      <c r="G352" s="66">
        <f t="shared" si="46"/>
        <v>46262</v>
      </c>
      <c r="H352" s="64">
        <v>10</v>
      </c>
      <c r="I352" s="64">
        <v>0</v>
      </c>
    </row>
    <row r="353" spans="1:9">
      <c r="A353" s="107" t="s">
        <v>122</v>
      </c>
      <c r="B353" s="107" t="s">
        <v>118</v>
      </c>
      <c r="C353" s="108"/>
      <c r="D353" s="64" t="s">
        <v>81</v>
      </c>
      <c r="E353" s="64"/>
      <c r="F353" s="65">
        <f>WORKDAY(G345,1)</f>
        <v>46251</v>
      </c>
      <c r="G353" s="66">
        <f t="shared" si="46"/>
        <v>46262</v>
      </c>
      <c r="H353" s="64">
        <v>10</v>
      </c>
      <c r="I353" s="64">
        <v>4</v>
      </c>
    </row>
    <row r="354" spans="1:9">
      <c r="A354" s="70" t="s">
        <v>122</v>
      </c>
      <c r="B354" s="70" t="s">
        <v>118</v>
      </c>
      <c r="C354" s="69"/>
      <c r="D354" s="70" t="s">
        <v>82</v>
      </c>
      <c r="E354" s="70"/>
      <c r="F354" s="71">
        <f t="shared" ref="F354" si="47">WORKDAY(G353,1)</f>
        <v>46265</v>
      </c>
      <c r="G354" s="71">
        <f t="shared" si="46"/>
        <v>46276</v>
      </c>
      <c r="H354" s="70">
        <v>10</v>
      </c>
      <c r="I354" s="70">
        <v>4</v>
      </c>
    </row>
    <row r="355" spans="1:9">
      <c r="A355" s="77" t="s">
        <v>122</v>
      </c>
      <c r="B355" s="77" t="s">
        <v>118</v>
      </c>
      <c r="C355" s="98"/>
      <c r="D355" s="75" t="s">
        <v>85</v>
      </c>
      <c r="E355" s="75"/>
      <c r="F355" s="76">
        <f>WORKDAY(G354,-1)</f>
        <v>46275</v>
      </c>
      <c r="G355" s="44">
        <f t="shared" si="46"/>
        <v>46279</v>
      </c>
      <c r="H355" s="75">
        <v>3</v>
      </c>
      <c r="I355" s="75">
        <v>12</v>
      </c>
    </row>
    <row r="356" spans="1:9">
      <c r="A356" s="77" t="s">
        <v>122</v>
      </c>
      <c r="B356" s="77" t="s">
        <v>118</v>
      </c>
      <c r="C356" s="98"/>
      <c r="D356" s="75" t="s">
        <v>86</v>
      </c>
      <c r="E356" s="75"/>
      <c r="F356" s="76">
        <f>WORKDAY(G354,1)</f>
        <v>46279</v>
      </c>
      <c r="G356" s="44">
        <f t="shared" si="46"/>
        <v>46290</v>
      </c>
      <c r="H356" s="75">
        <v>10</v>
      </c>
      <c r="I356" s="75">
        <v>0</v>
      </c>
    </row>
    <row r="357" spans="1:9">
      <c r="A357" s="78" t="s">
        <v>122</v>
      </c>
      <c r="B357" s="78" t="s">
        <v>118</v>
      </c>
      <c r="C357" s="109"/>
      <c r="D357" s="79" t="s">
        <v>87</v>
      </c>
      <c r="E357" s="79"/>
      <c r="F357" s="81">
        <f>WORKDAY(F355,4)</f>
        <v>46281</v>
      </c>
      <c r="G357" s="82">
        <f t="shared" si="46"/>
        <v>46294</v>
      </c>
      <c r="H357" s="79">
        <v>10</v>
      </c>
      <c r="I357" s="79">
        <v>4</v>
      </c>
    </row>
    <row r="358" spans="1:9">
      <c r="A358" s="83" t="s">
        <v>122</v>
      </c>
      <c r="B358" s="114" t="s">
        <v>118</v>
      </c>
      <c r="C358" s="115"/>
      <c r="D358" s="83" t="s">
        <v>89</v>
      </c>
      <c r="E358" s="83"/>
      <c r="F358" s="85">
        <f>WORKDAY(F357,3)</f>
        <v>46286</v>
      </c>
      <c r="G358" s="85">
        <f t="shared" si="46"/>
        <v>46297</v>
      </c>
      <c r="H358" s="83">
        <v>10</v>
      </c>
      <c r="I358" s="127">
        <v>1</v>
      </c>
    </row>
    <row r="359" spans="1:9">
      <c r="A359" s="83" t="s">
        <v>122</v>
      </c>
      <c r="B359" s="114" t="s">
        <v>118</v>
      </c>
      <c r="C359" s="115"/>
      <c r="D359" s="83" t="s">
        <v>91</v>
      </c>
      <c r="E359" s="83"/>
      <c r="F359" s="85">
        <f>WORKDAY(F357,3)</f>
        <v>46286</v>
      </c>
      <c r="G359" s="85">
        <f t="shared" si="46"/>
        <v>46297</v>
      </c>
      <c r="H359" s="83">
        <v>10</v>
      </c>
      <c r="I359" s="127"/>
    </row>
    <row r="360" spans="1:9">
      <c r="A360" s="83" t="s">
        <v>122</v>
      </c>
      <c r="B360" s="114" t="s">
        <v>118</v>
      </c>
      <c r="C360" s="115"/>
      <c r="D360" s="83" t="s">
        <v>92</v>
      </c>
      <c r="E360" s="83"/>
      <c r="F360" s="85">
        <f>WORKDAY(F357,3)</f>
        <v>46286</v>
      </c>
      <c r="G360" s="85">
        <f t="shared" si="46"/>
        <v>46297</v>
      </c>
      <c r="H360" s="83">
        <v>10</v>
      </c>
      <c r="I360" s="127"/>
    </row>
    <row r="361" spans="1:9">
      <c r="A361" s="83" t="s">
        <v>122</v>
      </c>
      <c r="B361" s="114" t="s">
        <v>118</v>
      </c>
      <c r="C361" s="115"/>
      <c r="D361" s="83" t="s">
        <v>93</v>
      </c>
      <c r="E361" s="83"/>
      <c r="F361" s="85">
        <f>WORKDAY(F357,3)</f>
        <v>46286</v>
      </c>
      <c r="G361" s="85">
        <f t="shared" si="46"/>
        <v>46297</v>
      </c>
      <c r="H361" s="83">
        <v>10</v>
      </c>
      <c r="I361" s="127"/>
    </row>
    <row r="362" spans="1:9">
      <c r="A362" s="83" t="s">
        <v>122</v>
      </c>
      <c r="B362" s="114" t="s">
        <v>118</v>
      </c>
      <c r="C362" s="115"/>
      <c r="D362" s="83" t="s">
        <v>94</v>
      </c>
      <c r="E362" s="83"/>
      <c r="F362" s="85">
        <f>WORKDAY(F357,3)</f>
        <v>46286</v>
      </c>
      <c r="G362" s="85">
        <f t="shared" si="46"/>
        <v>46297</v>
      </c>
      <c r="H362" s="83">
        <v>10</v>
      </c>
      <c r="I362" s="83">
        <v>1</v>
      </c>
    </row>
    <row r="363" spans="1:9">
      <c r="A363" s="86" t="s">
        <v>122</v>
      </c>
      <c r="B363" s="116" t="s">
        <v>118</v>
      </c>
      <c r="C363" s="117"/>
      <c r="D363" s="86" t="s">
        <v>95</v>
      </c>
      <c r="E363" s="86"/>
      <c r="F363" s="88">
        <f>WORKDAY(F362,3)</f>
        <v>46289</v>
      </c>
      <c r="G363" s="88">
        <f t="shared" si="46"/>
        <v>46297</v>
      </c>
      <c r="H363" s="86">
        <v>7</v>
      </c>
      <c r="I363" s="86">
        <v>0</v>
      </c>
    </row>
    <row r="364" spans="1:9">
      <c r="A364" s="89" t="s">
        <v>122</v>
      </c>
      <c r="B364" s="89" t="s">
        <v>118</v>
      </c>
      <c r="C364" s="90"/>
      <c r="D364" s="89" t="s">
        <v>96</v>
      </c>
      <c r="E364" s="89"/>
      <c r="F364" s="91">
        <f>WORKDAY(F363,2)</f>
        <v>46293</v>
      </c>
      <c r="G364" s="91">
        <f t="shared" si="46"/>
        <v>46304</v>
      </c>
      <c r="H364" s="89">
        <v>10</v>
      </c>
      <c r="I364" s="89">
        <v>2</v>
      </c>
    </row>
    <row r="365" spans="1:9">
      <c r="A365" s="89" t="s">
        <v>122</v>
      </c>
      <c r="B365" s="89" t="s">
        <v>118</v>
      </c>
      <c r="C365" s="90"/>
      <c r="D365" s="89" t="s">
        <v>98</v>
      </c>
      <c r="E365" s="89"/>
      <c r="F365" s="91">
        <f>WORKDAY(F363,2)</f>
        <v>46293</v>
      </c>
      <c r="G365" s="91">
        <f t="shared" si="46"/>
        <v>46304</v>
      </c>
      <c r="H365" s="89">
        <v>10</v>
      </c>
      <c r="I365" s="89">
        <v>9</v>
      </c>
    </row>
    <row r="366" spans="1:9">
      <c r="A366" s="89" t="s">
        <v>122</v>
      </c>
      <c r="B366" s="89" t="s">
        <v>118</v>
      </c>
      <c r="C366" s="90"/>
      <c r="D366" s="89" t="s">
        <v>101</v>
      </c>
      <c r="E366" s="89"/>
      <c r="F366" s="91">
        <f>WORKDAY(F363,2)</f>
        <v>46293</v>
      </c>
      <c r="G366" s="91">
        <f t="shared" si="46"/>
        <v>46304</v>
      </c>
      <c r="H366" s="89">
        <v>10</v>
      </c>
      <c r="I366" s="89">
        <v>0</v>
      </c>
    </row>
    <row r="367" spans="1:9">
      <c r="A367" s="38" t="s">
        <v>122</v>
      </c>
      <c r="B367" s="38" t="s">
        <v>118</v>
      </c>
      <c r="C367" s="92"/>
      <c r="D367" s="38" t="s">
        <v>103</v>
      </c>
      <c r="E367" s="38"/>
      <c r="F367" s="93">
        <f>WORKDAY(G365,-4)</f>
        <v>46300</v>
      </c>
      <c r="G367" s="93">
        <f t="shared" si="46"/>
        <v>46302</v>
      </c>
      <c r="H367" s="38">
        <v>3</v>
      </c>
      <c r="I367" s="38">
        <v>0</v>
      </c>
    </row>
    <row r="368" spans="1:9">
      <c r="A368" s="38" t="s">
        <v>122</v>
      </c>
      <c r="B368" s="38" t="s">
        <v>118</v>
      </c>
      <c r="C368" s="92"/>
      <c r="D368" s="38" t="s">
        <v>106</v>
      </c>
      <c r="E368" s="38"/>
      <c r="F368" s="93">
        <f>WORKDAY(G365,-4)</f>
        <v>46300</v>
      </c>
      <c r="G368" s="93">
        <f t="shared" si="46"/>
        <v>46311</v>
      </c>
      <c r="H368" s="38">
        <v>10</v>
      </c>
      <c r="I368" s="38">
        <v>10</v>
      </c>
    </row>
    <row r="369" spans="1:9">
      <c r="A369" s="38" t="s">
        <v>122</v>
      </c>
      <c r="B369" s="38" t="s">
        <v>118</v>
      </c>
      <c r="C369" s="92"/>
      <c r="D369" s="38" t="s">
        <v>108</v>
      </c>
      <c r="E369" s="38"/>
      <c r="F369" s="93">
        <f>WORKDAY(G365,-4)</f>
        <v>46300</v>
      </c>
      <c r="G369" s="93">
        <f t="shared" si="46"/>
        <v>46311</v>
      </c>
      <c r="H369" s="38">
        <v>10</v>
      </c>
      <c r="I369" s="38">
        <v>6</v>
      </c>
    </row>
    <row r="370" spans="1:9">
      <c r="A370" s="94" t="s">
        <v>122</v>
      </c>
      <c r="B370" s="94" t="s">
        <v>118</v>
      </c>
      <c r="C370" s="95"/>
      <c r="D370" s="96" t="s">
        <v>109</v>
      </c>
      <c r="E370" s="96"/>
      <c r="F370" s="97">
        <f>WORKDAY(G365,1)</f>
        <v>46307</v>
      </c>
      <c r="G370" s="97">
        <f t="shared" si="46"/>
        <v>46318</v>
      </c>
      <c r="H370" s="94">
        <v>10</v>
      </c>
      <c r="I370" s="94">
        <v>0</v>
      </c>
    </row>
    <row r="371" spans="1:9">
      <c r="A371" s="94" t="s">
        <v>122</v>
      </c>
      <c r="B371" s="94" t="s">
        <v>118</v>
      </c>
      <c r="C371" s="95"/>
      <c r="D371" s="96" t="s">
        <v>112</v>
      </c>
      <c r="E371" s="96"/>
      <c r="F371" s="97">
        <f>WORKDAY(G365,1)</f>
        <v>46307</v>
      </c>
      <c r="G371" s="97">
        <f t="shared" si="46"/>
        <v>46318</v>
      </c>
      <c r="H371" s="94">
        <v>10</v>
      </c>
      <c r="I371" s="94">
        <v>0</v>
      </c>
    </row>
    <row r="372" spans="1:9">
      <c r="A372" s="77" t="s">
        <v>122</v>
      </c>
      <c r="B372" s="77" t="s">
        <v>118</v>
      </c>
      <c r="C372" s="98"/>
      <c r="D372" s="77" t="s">
        <v>113</v>
      </c>
      <c r="E372" s="77"/>
      <c r="F372" s="44">
        <f>WORKDAY(G370,-4)</f>
        <v>46314</v>
      </c>
      <c r="G372" s="44">
        <f t="shared" si="46"/>
        <v>46318</v>
      </c>
      <c r="H372" s="77">
        <v>5</v>
      </c>
      <c r="I372" s="77">
        <v>1</v>
      </c>
    </row>
    <row r="373" spans="1:9">
      <c r="A373" s="77" t="s">
        <v>122</v>
      </c>
      <c r="B373" s="77" t="s">
        <v>118</v>
      </c>
      <c r="C373" s="98"/>
      <c r="D373" s="77" t="s">
        <v>116</v>
      </c>
      <c r="E373" s="77"/>
      <c r="F373" s="44">
        <f>WORKDAY(G370,-4)</f>
        <v>46314</v>
      </c>
      <c r="G373" s="44">
        <f t="shared" si="46"/>
        <v>46318</v>
      </c>
      <c r="H373" s="77">
        <v>5</v>
      </c>
      <c r="I373" s="77">
        <v>0</v>
      </c>
    </row>
    <row r="374" spans="1:9">
      <c r="A374" s="5" t="s">
        <v>122</v>
      </c>
      <c r="B374" s="99" t="s">
        <v>119</v>
      </c>
      <c r="C374" s="100"/>
      <c r="D374" s="6" t="s">
        <v>11</v>
      </c>
      <c r="E374" s="6"/>
      <c r="F374" s="8">
        <f>WORKDAY(G323,1)</f>
        <v>46160</v>
      </c>
      <c r="G374" s="8">
        <f>WORKDAY(F374,H374-1,)</f>
        <v>46171</v>
      </c>
      <c r="H374" s="6">
        <v>10</v>
      </c>
      <c r="I374" s="6">
        <v>0</v>
      </c>
    </row>
    <row r="375" spans="1:9">
      <c r="A375" s="5" t="s">
        <v>122</v>
      </c>
      <c r="B375" s="99" t="s">
        <v>119</v>
      </c>
      <c r="C375" s="100"/>
      <c r="D375" s="6" t="s">
        <v>13</v>
      </c>
      <c r="E375" s="6"/>
      <c r="F375" s="8">
        <f>WORKDAY(G323,1)</f>
        <v>46160</v>
      </c>
      <c r="G375" s="8">
        <f t="shared" ref="G375" si="48">WORKDAY(F375,H375-1,)</f>
        <v>46171</v>
      </c>
      <c r="H375" s="6">
        <v>10</v>
      </c>
      <c r="I375" s="6">
        <v>0</v>
      </c>
    </row>
    <row r="376" spans="1:9">
      <c r="A376" s="5" t="s">
        <v>122</v>
      </c>
      <c r="B376" s="99" t="s">
        <v>119</v>
      </c>
      <c r="C376" s="100"/>
      <c r="D376" s="6" t="s">
        <v>15</v>
      </c>
      <c r="E376" s="6"/>
      <c r="F376" s="8">
        <f>WORKDAY(G322,1)</f>
        <v>46160</v>
      </c>
      <c r="G376" s="8">
        <f>WORKDAY(F376,H376-1,)</f>
        <v>46171</v>
      </c>
      <c r="H376" s="6">
        <v>10</v>
      </c>
      <c r="I376" s="6">
        <v>0</v>
      </c>
    </row>
    <row r="377" spans="1:9">
      <c r="A377" s="5" t="s">
        <v>122</v>
      </c>
      <c r="B377" s="99" t="s">
        <v>119</v>
      </c>
      <c r="C377" s="100"/>
      <c r="D377" s="6" t="s">
        <v>120</v>
      </c>
      <c r="E377" s="6"/>
      <c r="F377" s="8">
        <f>WORKDAY(G323,1)</f>
        <v>46160</v>
      </c>
      <c r="G377" s="8">
        <f>WORKDAY(F377,H377-1,)</f>
        <v>46171</v>
      </c>
      <c r="H377" s="6">
        <v>10</v>
      </c>
      <c r="I377" s="6">
        <v>0</v>
      </c>
    </row>
    <row r="378" spans="1:9">
      <c r="A378" s="11" t="s">
        <v>122</v>
      </c>
      <c r="B378" s="101" t="s">
        <v>119</v>
      </c>
      <c r="C378" s="102"/>
      <c r="D378" s="11" t="s">
        <v>16</v>
      </c>
      <c r="E378" s="11"/>
      <c r="F378" s="12">
        <f>WORKDAY(G377,-4)</f>
        <v>46167</v>
      </c>
      <c r="G378" s="12">
        <f t="shared" ref="G378:G385" si="49">WORKDAY(F378,H378-1,)</f>
        <v>46178</v>
      </c>
      <c r="H378" s="11">
        <v>10</v>
      </c>
      <c r="I378" s="11">
        <v>0</v>
      </c>
    </row>
    <row r="379" spans="1:9">
      <c r="A379" s="11" t="s">
        <v>122</v>
      </c>
      <c r="B379" s="101" t="s">
        <v>119</v>
      </c>
      <c r="C379" s="102"/>
      <c r="D379" s="11" t="s">
        <v>18</v>
      </c>
      <c r="E379" s="11"/>
      <c r="F379" s="12">
        <f>WORKDAY(G377,-4)</f>
        <v>46167</v>
      </c>
      <c r="G379" s="12">
        <f t="shared" si="49"/>
        <v>46178</v>
      </c>
      <c r="H379" s="11">
        <v>10</v>
      </c>
      <c r="I379" s="13">
        <v>0</v>
      </c>
    </row>
    <row r="380" spans="1:9">
      <c r="A380" s="11" t="s">
        <v>122</v>
      </c>
      <c r="B380" s="101" t="s">
        <v>119</v>
      </c>
      <c r="C380" s="102"/>
      <c r="D380" s="11" t="s">
        <v>21</v>
      </c>
      <c r="E380" s="11"/>
      <c r="F380" s="12">
        <f>WORKDAY(G377,-4)</f>
        <v>46167</v>
      </c>
      <c r="G380" s="12">
        <f t="shared" si="49"/>
        <v>46178</v>
      </c>
      <c r="H380" s="11">
        <v>10</v>
      </c>
      <c r="I380" s="11">
        <v>3</v>
      </c>
    </row>
    <row r="381" spans="1:9">
      <c r="A381" s="11" t="s">
        <v>122</v>
      </c>
      <c r="B381" s="101" t="s">
        <v>119</v>
      </c>
      <c r="C381" s="102"/>
      <c r="D381" s="11" t="s">
        <v>24</v>
      </c>
      <c r="E381" s="11"/>
      <c r="F381" s="12">
        <f>WORKDAY(G377,-4)</f>
        <v>46167</v>
      </c>
      <c r="G381" s="12">
        <f t="shared" si="49"/>
        <v>46178</v>
      </c>
      <c r="H381" s="11">
        <v>10</v>
      </c>
      <c r="I381" s="11">
        <v>0</v>
      </c>
    </row>
    <row r="382" spans="1:9">
      <c r="A382" s="17" t="s">
        <v>122</v>
      </c>
      <c r="B382" s="103" t="s">
        <v>119</v>
      </c>
      <c r="C382" s="104"/>
      <c r="D382" s="17" t="s">
        <v>26</v>
      </c>
      <c r="E382" s="17"/>
      <c r="F382" s="18">
        <f>WORKDAY(G381,-4)</f>
        <v>46174</v>
      </c>
      <c r="G382" s="18">
        <f t="shared" si="49"/>
        <v>46185</v>
      </c>
      <c r="H382" s="17">
        <v>10</v>
      </c>
      <c r="I382" s="17">
        <v>2</v>
      </c>
    </row>
    <row r="383" spans="1:9">
      <c r="A383" s="21" t="s">
        <v>122</v>
      </c>
      <c r="B383" s="21" t="s">
        <v>119</v>
      </c>
      <c r="C383" s="20"/>
      <c r="D383" s="21" t="s">
        <v>29</v>
      </c>
      <c r="E383" s="21"/>
      <c r="F383" s="22">
        <f>WORKDAY(F382,5)</f>
        <v>46181</v>
      </c>
      <c r="G383" s="22">
        <f t="shared" si="49"/>
        <v>46185</v>
      </c>
      <c r="H383" s="21">
        <v>5</v>
      </c>
      <c r="I383" s="21">
        <v>4</v>
      </c>
    </row>
    <row r="384" spans="1:9">
      <c r="A384" s="21" t="s">
        <v>122</v>
      </c>
      <c r="B384" s="21" t="s">
        <v>119</v>
      </c>
      <c r="C384" s="20"/>
      <c r="D384" s="21" t="s">
        <v>32</v>
      </c>
      <c r="E384" s="21"/>
      <c r="F384" s="22">
        <f>WORKDAY(G382,1)</f>
        <v>46188</v>
      </c>
      <c r="G384" s="22">
        <f t="shared" si="49"/>
        <v>46192</v>
      </c>
      <c r="H384" s="21">
        <v>5</v>
      </c>
      <c r="I384" s="21">
        <v>0</v>
      </c>
    </row>
    <row r="385" spans="1:9">
      <c r="A385" s="21" t="s">
        <v>122</v>
      </c>
      <c r="B385" s="21" t="s">
        <v>119</v>
      </c>
      <c r="C385" s="20"/>
      <c r="D385" s="21" t="s">
        <v>34</v>
      </c>
      <c r="E385" s="21"/>
      <c r="F385" s="22">
        <f>WORKDAY(G379,1)</f>
        <v>46181</v>
      </c>
      <c r="G385" s="22">
        <f t="shared" si="49"/>
        <v>46192</v>
      </c>
      <c r="H385" s="21">
        <v>10</v>
      </c>
      <c r="I385" s="21">
        <v>1</v>
      </c>
    </row>
    <row r="386" spans="1:9">
      <c r="A386" s="31" t="s">
        <v>122</v>
      </c>
      <c r="B386" s="31" t="s">
        <v>119</v>
      </c>
      <c r="C386" s="30"/>
      <c r="D386" s="31" t="s">
        <v>37</v>
      </c>
      <c r="E386" s="31"/>
      <c r="F386" s="32">
        <f>WORKDAY(G385,1)</f>
        <v>46195</v>
      </c>
      <c r="G386" s="32">
        <f>WORKDAY(F386,H386-1,)</f>
        <v>46206</v>
      </c>
      <c r="H386" s="31">
        <v>10</v>
      </c>
      <c r="I386" s="128">
        <v>2</v>
      </c>
    </row>
    <row r="387" spans="1:9">
      <c r="A387" s="31" t="s">
        <v>122</v>
      </c>
      <c r="B387" s="31" t="s">
        <v>119</v>
      </c>
      <c r="C387" s="30"/>
      <c r="D387" s="31" t="s">
        <v>40</v>
      </c>
      <c r="E387" s="31"/>
      <c r="F387" s="32">
        <f>WORKDAY(G385,1)</f>
        <v>46195</v>
      </c>
      <c r="G387" s="32">
        <f t="shared" ref="G387:G399" si="50">WORKDAY(F387,H387-1,)</f>
        <v>46206</v>
      </c>
      <c r="H387" s="31">
        <v>10</v>
      </c>
      <c r="I387" s="128"/>
    </row>
    <row r="388" spans="1:9">
      <c r="A388" s="31" t="s">
        <v>122</v>
      </c>
      <c r="B388" s="31" t="s">
        <v>119</v>
      </c>
      <c r="C388" s="30"/>
      <c r="D388" s="31" t="s">
        <v>42</v>
      </c>
      <c r="E388" s="31"/>
      <c r="F388" s="32">
        <f>WORKDAY(G385,1)</f>
        <v>46195</v>
      </c>
      <c r="G388" s="32">
        <f t="shared" si="50"/>
        <v>46206</v>
      </c>
      <c r="H388" s="31">
        <v>10</v>
      </c>
      <c r="I388" s="128"/>
    </row>
    <row r="389" spans="1:9">
      <c r="A389" s="31" t="s">
        <v>122</v>
      </c>
      <c r="B389" s="31" t="s">
        <v>119</v>
      </c>
      <c r="C389" s="30"/>
      <c r="D389" s="31" t="s">
        <v>44</v>
      </c>
      <c r="E389" s="31"/>
      <c r="F389" s="32">
        <f>WORKDAY(G385,1)</f>
        <v>46195</v>
      </c>
      <c r="G389" s="32">
        <f t="shared" si="50"/>
        <v>46206</v>
      </c>
      <c r="H389" s="31">
        <v>10</v>
      </c>
      <c r="I389" s="128"/>
    </row>
    <row r="390" spans="1:9">
      <c r="A390" s="31" t="s">
        <v>122</v>
      </c>
      <c r="B390" s="31" t="s">
        <v>119</v>
      </c>
      <c r="C390" s="30"/>
      <c r="D390" s="31" t="s">
        <v>45</v>
      </c>
      <c r="E390" s="31"/>
      <c r="F390" s="32">
        <f>WORKDAY(G385,1)</f>
        <v>46195</v>
      </c>
      <c r="G390" s="32">
        <f t="shared" si="50"/>
        <v>46206</v>
      </c>
      <c r="H390" s="31">
        <v>10</v>
      </c>
      <c r="I390" s="31">
        <v>5</v>
      </c>
    </row>
    <row r="391" spans="1:9">
      <c r="A391" s="25" t="s">
        <v>122</v>
      </c>
      <c r="B391" s="25" t="s">
        <v>119</v>
      </c>
      <c r="C391" s="105"/>
      <c r="D391" s="26" t="s">
        <v>47</v>
      </c>
      <c r="E391" s="26"/>
      <c r="F391" s="27">
        <f>WORKDAY(G390,-4)</f>
        <v>46202</v>
      </c>
      <c r="G391" s="28">
        <f t="shared" si="50"/>
        <v>46213</v>
      </c>
      <c r="H391" s="26">
        <v>10</v>
      </c>
      <c r="I391" s="26">
        <v>8</v>
      </c>
    </row>
    <row r="392" spans="1:9">
      <c r="A392" s="77" t="s">
        <v>122</v>
      </c>
      <c r="B392" s="77" t="s">
        <v>119</v>
      </c>
      <c r="C392" s="98"/>
      <c r="D392" s="42" t="s">
        <v>50</v>
      </c>
      <c r="E392" s="42"/>
      <c r="F392" s="43">
        <f>WORKDAY(G390,1)</f>
        <v>46209</v>
      </c>
      <c r="G392" s="44">
        <f t="shared" si="50"/>
        <v>46209</v>
      </c>
      <c r="H392" s="42">
        <v>1</v>
      </c>
      <c r="I392" s="42">
        <v>0</v>
      </c>
    </row>
    <row r="393" spans="1:9">
      <c r="A393" s="21" t="s">
        <v>122</v>
      </c>
      <c r="B393" s="21" t="s">
        <v>119</v>
      </c>
      <c r="C393" s="20"/>
      <c r="D393" s="47" t="s">
        <v>52</v>
      </c>
      <c r="E393" s="47"/>
      <c r="F393" s="48">
        <f>WORKDAY(G391,1)</f>
        <v>46216</v>
      </c>
      <c r="G393" s="22">
        <f t="shared" si="50"/>
        <v>46227</v>
      </c>
      <c r="H393" s="47">
        <v>10</v>
      </c>
      <c r="I393" s="47">
        <v>5</v>
      </c>
    </row>
    <row r="394" spans="1:9">
      <c r="A394" s="21" t="s">
        <v>122</v>
      </c>
      <c r="B394" s="21" t="s">
        <v>119</v>
      </c>
      <c r="C394" s="20"/>
      <c r="D394" s="49" t="s">
        <v>55</v>
      </c>
      <c r="E394" s="49"/>
      <c r="F394" s="48">
        <f>WORKDAY(G391,1)</f>
        <v>46216</v>
      </c>
      <c r="G394" s="22">
        <f t="shared" si="50"/>
        <v>46227</v>
      </c>
      <c r="H394" s="47">
        <v>10</v>
      </c>
      <c r="I394" s="47">
        <v>0</v>
      </c>
    </row>
    <row r="395" spans="1:9">
      <c r="A395" s="52" t="s">
        <v>122</v>
      </c>
      <c r="B395" s="110" t="s">
        <v>119</v>
      </c>
      <c r="C395" s="111"/>
      <c r="D395" s="52" t="s">
        <v>56</v>
      </c>
      <c r="E395" s="52"/>
      <c r="F395" s="53">
        <f t="shared" ref="F395" si="51">WORKDAY(G394,1)</f>
        <v>46230</v>
      </c>
      <c r="G395" s="53">
        <f t="shared" si="50"/>
        <v>46241</v>
      </c>
      <c r="H395" s="52">
        <v>10</v>
      </c>
      <c r="I395" s="52">
        <v>4</v>
      </c>
    </row>
    <row r="396" spans="1:9">
      <c r="A396" s="52" t="s">
        <v>122</v>
      </c>
      <c r="B396" s="110" t="s">
        <v>119</v>
      </c>
      <c r="C396" s="111"/>
      <c r="D396" s="52" t="s">
        <v>59</v>
      </c>
      <c r="E396" s="52"/>
      <c r="F396" s="53">
        <f>WORKDAY(G394,1)</f>
        <v>46230</v>
      </c>
      <c r="G396" s="53">
        <f t="shared" si="50"/>
        <v>46230</v>
      </c>
      <c r="H396" s="52">
        <v>1</v>
      </c>
      <c r="I396" s="52">
        <v>0</v>
      </c>
    </row>
    <row r="397" spans="1:9">
      <c r="A397" s="56" t="s">
        <v>122</v>
      </c>
      <c r="B397" s="112" t="s">
        <v>119</v>
      </c>
      <c r="C397" s="113"/>
      <c r="D397" s="56" t="s">
        <v>62</v>
      </c>
      <c r="E397" s="56"/>
      <c r="F397" s="57">
        <f>WORKDAY(G395,-4)</f>
        <v>46237</v>
      </c>
      <c r="G397" s="57">
        <f t="shared" si="50"/>
        <v>46248</v>
      </c>
      <c r="H397" s="56">
        <v>10</v>
      </c>
      <c r="I397" s="56">
        <v>0</v>
      </c>
    </row>
    <row r="398" spans="1:9">
      <c r="A398" s="56" t="s">
        <v>122</v>
      </c>
      <c r="B398" s="112" t="s">
        <v>119</v>
      </c>
      <c r="C398" s="113"/>
      <c r="D398" s="56" t="s">
        <v>64</v>
      </c>
      <c r="E398" s="56"/>
      <c r="F398" s="57">
        <f>WORKDAY(F397,1)</f>
        <v>46238</v>
      </c>
      <c r="G398" s="57">
        <f t="shared" si="50"/>
        <v>46248</v>
      </c>
      <c r="H398" s="56">
        <v>9</v>
      </c>
      <c r="I398" s="56">
        <v>0</v>
      </c>
    </row>
    <row r="399" spans="1:9">
      <c r="A399" s="31" t="s">
        <v>122</v>
      </c>
      <c r="B399" s="31" t="s">
        <v>119</v>
      </c>
      <c r="C399" s="30"/>
      <c r="D399" s="58" t="s">
        <v>65</v>
      </c>
      <c r="E399" s="58"/>
      <c r="F399" s="59">
        <f>WORKDAY(G397,1)</f>
        <v>46251</v>
      </c>
      <c r="G399" s="32">
        <f t="shared" si="50"/>
        <v>46262</v>
      </c>
      <c r="H399" s="58">
        <v>10</v>
      </c>
      <c r="I399" s="58">
        <v>2</v>
      </c>
    </row>
    <row r="400" spans="1:9">
      <c r="A400" s="106" t="s">
        <v>122</v>
      </c>
      <c r="B400" s="107" t="s">
        <v>119</v>
      </c>
      <c r="C400" s="108"/>
      <c r="D400" s="64" t="s">
        <v>68</v>
      </c>
      <c r="E400" s="64"/>
      <c r="F400" s="65">
        <f>WORKDAY(G399,1)</f>
        <v>46265</v>
      </c>
      <c r="G400" s="65">
        <f>WORKDAY(F400,H400-1,)</f>
        <v>46276</v>
      </c>
      <c r="H400" s="64">
        <v>10</v>
      </c>
      <c r="I400" s="129">
        <v>2</v>
      </c>
    </row>
    <row r="401" spans="1:9">
      <c r="A401" s="106" t="s">
        <v>122</v>
      </c>
      <c r="B401" s="107" t="s">
        <v>119</v>
      </c>
      <c r="C401" s="108"/>
      <c r="D401" s="64" t="s">
        <v>71</v>
      </c>
      <c r="E401" s="64"/>
      <c r="F401" s="65">
        <f>WORKDAY(G399,1)</f>
        <v>46265</v>
      </c>
      <c r="G401" s="65">
        <f t="shared" ref="G401:G403" si="52">WORKDAY(F400,H400-1,)</f>
        <v>46276</v>
      </c>
      <c r="H401" s="64">
        <v>10</v>
      </c>
      <c r="I401" s="129"/>
    </row>
    <row r="402" spans="1:9">
      <c r="A402" s="106" t="s">
        <v>122</v>
      </c>
      <c r="B402" s="107" t="s">
        <v>119</v>
      </c>
      <c r="C402" s="108"/>
      <c r="D402" s="64" t="s">
        <v>72</v>
      </c>
      <c r="E402" s="64"/>
      <c r="F402" s="65">
        <f>WORKDAY(G399,1)</f>
        <v>46265</v>
      </c>
      <c r="G402" s="65">
        <f t="shared" si="52"/>
        <v>46276</v>
      </c>
      <c r="H402" s="64">
        <v>10</v>
      </c>
      <c r="I402" s="129"/>
    </row>
    <row r="403" spans="1:9">
      <c r="A403" s="106" t="s">
        <v>122</v>
      </c>
      <c r="B403" s="107" t="s">
        <v>119</v>
      </c>
      <c r="C403" s="108"/>
      <c r="D403" s="64" t="s">
        <v>73</v>
      </c>
      <c r="E403" s="64"/>
      <c r="F403" s="65">
        <f>WORKDAY(G399,1)</f>
        <v>46265</v>
      </c>
      <c r="G403" s="65">
        <f t="shared" si="52"/>
        <v>46276</v>
      </c>
      <c r="H403" s="64">
        <v>10</v>
      </c>
      <c r="I403" s="129"/>
    </row>
    <row r="404" spans="1:9">
      <c r="A404" s="107" t="s">
        <v>122</v>
      </c>
      <c r="B404" s="107" t="s">
        <v>119</v>
      </c>
      <c r="C404" s="108"/>
      <c r="D404" s="64" t="s">
        <v>74</v>
      </c>
      <c r="E404" s="64"/>
      <c r="F404" s="65">
        <f>WORKDAY(G399,1)</f>
        <v>46265</v>
      </c>
      <c r="G404" s="66">
        <f>WORKDAY(F404,H404-1,)</f>
        <v>46276</v>
      </c>
      <c r="H404" s="64">
        <v>10</v>
      </c>
      <c r="I404" s="64">
        <v>3</v>
      </c>
    </row>
    <row r="405" spans="1:9">
      <c r="A405" s="107" t="s">
        <v>122</v>
      </c>
      <c r="B405" s="107" t="s">
        <v>119</v>
      </c>
      <c r="C405" s="108"/>
      <c r="D405" s="64" t="s">
        <v>77</v>
      </c>
      <c r="E405" s="64"/>
      <c r="F405" s="65">
        <f>WORKDAY(G399,1)</f>
        <v>46265</v>
      </c>
      <c r="G405" s="66">
        <f t="shared" ref="G405:G427" si="53">WORKDAY(F405,H405-1,)</f>
        <v>46276</v>
      </c>
      <c r="H405" s="64">
        <v>10</v>
      </c>
      <c r="I405" s="64">
        <v>0</v>
      </c>
    </row>
    <row r="406" spans="1:9">
      <c r="A406" s="107" t="s">
        <v>122</v>
      </c>
      <c r="B406" s="107" t="s">
        <v>119</v>
      </c>
      <c r="C406" s="108"/>
      <c r="D406" s="64" t="s">
        <v>80</v>
      </c>
      <c r="E406" s="64"/>
      <c r="F406" s="65">
        <f>WORKDAY(G399,1)</f>
        <v>46265</v>
      </c>
      <c r="G406" s="66">
        <f t="shared" si="53"/>
        <v>46276</v>
      </c>
      <c r="H406" s="64">
        <v>10</v>
      </c>
      <c r="I406" s="64">
        <v>0</v>
      </c>
    </row>
    <row r="407" spans="1:9">
      <c r="A407" s="107" t="s">
        <v>122</v>
      </c>
      <c r="B407" s="107" t="s">
        <v>119</v>
      </c>
      <c r="C407" s="108"/>
      <c r="D407" s="64" t="s">
        <v>81</v>
      </c>
      <c r="E407" s="64"/>
      <c r="F407" s="65">
        <f>WORKDAY(G399,1)</f>
        <v>46265</v>
      </c>
      <c r="G407" s="66">
        <f t="shared" si="53"/>
        <v>46276</v>
      </c>
      <c r="H407" s="64">
        <v>10</v>
      </c>
      <c r="I407" s="64">
        <v>6</v>
      </c>
    </row>
    <row r="408" spans="1:9">
      <c r="A408" s="70" t="s">
        <v>122</v>
      </c>
      <c r="B408" s="119" t="s">
        <v>119</v>
      </c>
      <c r="C408" s="120"/>
      <c r="D408" s="70" t="s">
        <v>82</v>
      </c>
      <c r="E408" s="70"/>
      <c r="F408" s="71">
        <f t="shared" ref="F408" si="54">WORKDAY(G407,1)</f>
        <v>46279</v>
      </c>
      <c r="G408" s="71">
        <f t="shared" si="53"/>
        <v>46290</v>
      </c>
      <c r="H408" s="70">
        <v>10</v>
      </c>
      <c r="I408" s="70">
        <v>4</v>
      </c>
    </row>
    <row r="409" spans="1:9">
      <c r="A409" s="77" t="s">
        <v>122</v>
      </c>
      <c r="B409" s="77" t="s">
        <v>119</v>
      </c>
      <c r="C409" s="98"/>
      <c r="D409" s="75" t="s">
        <v>85</v>
      </c>
      <c r="E409" s="75"/>
      <c r="F409" s="76">
        <f>WORKDAY(G408,-1)</f>
        <v>46289</v>
      </c>
      <c r="G409" s="44">
        <f t="shared" si="53"/>
        <v>46293</v>
      </c>
      <c r="H409" s="75">
        <v>3</v>
      </c>
      <c r="I409" s="75">
        <v>6</v>
      </c>
    </row>
    <row r="410" spans="1:9">
      <c r="A410" s="77" t="s">
        <v>122</v>
      </c>
      <c r="B410" s="77" t="s">
        <v>119</v>
      </c>
      <c r="C410" s="98"/>
      <c r="D410" s="75" t="s">
        <v>86</v>
      </c>
      <c r="E410" s="75"/>
      <c r="F410" s="76">
        <f>WORKDAY(G408,1)</f>
        <v>46293</v>
      </c>
      <c r="G410" s="44">
        <f t="shared" si="53"/>
        <v>46304</v>
      </c>
      <c r="H410" s="75">
        <v>10</v>
      </c>
      <c r="I410" s="75">
        <v>0</v>
      </c>
    </row>
    <row r="411" spans="1:9">
      <c r="A411" s="78" t="s">
        <v>122</v>
      </c>
      <c r="B411" s="78" t="s">
        <v>119</v>
      </c>
      <c r="C411" s="109"/>
      <c r="D411" s="79" t="s">
        <v>87</v>
      </c>
      <c r="E411" s="79"/>
      <c r="F411" s="81">
        <f>WORKDAY(F409,4)</f>
        <v>46295</v>
      </c>
      <c r="G411" s="82">
        <f t="shared" si="53"/>
        <v>46308</v>
      </c>
      <c r="H411" s="79">
        <v>10</v>
      </c>
      <c r="I411" s="79">
        <v>4</v>
      </c>
    </row>
    <row r="412" spans="1:9">
      <c r="A412" s="83" t="s">
        <v>122</v>
      </c>
      <c r="B412" s="114" t="s">
        <v>119</v>
      </c>
      <c r="C412" s="115"/>
      <c r="D412" s="83" t="s">
        <v>89</v>
      </c>
      <c r="E412" s="83"/>
      <c r="F412" s="85">
        <f>WORKDAY(F411,3)</f>
        <v>46300</v>
      </c>
      <c r="G412" s="85">
        <f t="shared" si="53"/>
        <v>46311</v>
      </c>
      <c r="H412" s="83">
        <v>10</v>
      </c>
      <c r="I412" s="127">
        <v>0</v>
      </c>
    </row>
    <row r="413" spans="1:9">
      <c r="A413" s="83" t="s">
        <v>122</v>
      </c>
      <c r="B413" s="114" t="s">
        <v>119</v>
      </c>
      <c r="C413" s="115"/>
      <c r="D413" s="83" t="s">
        <v>91</v>
      </c>
      <c r="E413" s="83"/>
      <c r="F413" s="85">
        <f>WORKDAY(F411,3)</f>
        <v>46300</v>
      </c>
      <c r="G413" s="85">
        <f t="shared" si="53"/>
        <v>46311</v>
      </c>
      <c r="H413" s="83">
        <v>10</v>
      </c>
      <c r="I413" s="127"/>
    </row>
    <row r="414" spans="1:9">
      <c r="A414" s="83" t="s">
        <v>122</v>
      </c>
      <c r="B414" s="114" t="s">
        <v>119</v>
      </c>
      <c r="C414" s="115"/>
      <c r="D414" s="83" t="s">
        <v>92</v>
      </c>
      <c r="E414" s="83"/>
      <c r="F414" s="85">
        <f>WORKDAY(F411,3)</f>
        <v>46300</v>
      </c>
      <c r="G414" s="85">
        <f t="shared" si="53"/>
        <v>46311</v>
      </c>
      <c r="H414" s="83">
        <v>10</v>
      </c>
      <c r="I414" s="127"/>
    </row>
    <row r="415" spans="1:9">
      <c r="A415" s="83" t="s">
        <v>122</v>
      </c>
      <c r="B415" s="114" t="s">
        <v>119</v>
      </c>
      <c r="C415" s="115"/>
      <c r="D415" s="83" t="s">
        <v>93</v>
      </c>
      <c r="E415" s="83"/>
      <c r="F415" s="85">
        <f>WORKDAY(F411,3)</f>
        <v>46300</v>
      </c>
      <c r="G415" s="85">
        <f t="shared" si="53"/>
        <v>46311</v>
      </c>
      <c r="H415" s="83">
        <v>10</v>
      </c>
      <c r="I415" s="127"/>
    </row>
    <row r="416" spans="1:9">
      <c r="A416" s="83" t="s">
        <v>122</v>
      </c>
      <c r="B416" s="114" t="s">
        <v>119</v>
      </c>
      <c r="C416" s="115"/>
      <c r="D416" s="83" t="s">
        <v>94</v>
      </c>
      <c r="E416" s="83"/>
      <c r="F416" s="85">
        <f>WORKDAY(F411,3)</f>
        <v>46300</v>
      </c>
      <c r="G416" s="85">
        <f t="shared" si="53"/>
        <v>46311</v>
      </c>
      <c r="H416" s="83">
        <v>10</v>
      </c>
      <c r="I416" s="83">
        <v>0</v>
      </c>
    </row>
    <row r="417" spans="1:9">
      <c r="A417" s="86" t="s">
        <v>122</v>
      </c>
      <c r="B417" s="116" t="s">
        <v>119</v>
      </c>
      <c r="C417" s="117"/>
      <c r="D417" s="86" t="s">
        <v>95</v>
      </c>
      <c r="E417" s="86"/>
      <c r="F417" s="88">
        <f>WORKDAY(F416,3)</f>
        <v>46303</v>
      </c>
      <c r="G417" s="88">
        <f t="shared" si="53"/>
        <v>46311</v>
      </c>
      <c r="H417" s="86">
        <v>7</v>
      </c>
      <c r="I417" s="86">
        <v>0</v>
      </c>
    </row>
    <row r="418" spans="1:9">
      <c r="A418" s="89" t="s">
        <v>122</v>
      </c>
      <c r="B418" s="89" t="s">
        <v>119</v>
      </c>
      <c r="C418" s="90"/>
      <c r="D418" s="89" t="s">
        <v>96</v>
      </c>
      <c r="E418" s="89"/>
      <c r="F418" s="91">
        <f>WORKDAY(F417,2)</f>
        <v>46307</v>
      </c>
      <c r="G418" s="91">
        <f t="shared" si="53"/>
        <v>46318</v>
      </c>
      <c r="H418" s="89">
        <v>10</v>
      </c>
      <c r="I418" s="89">
        <v>0</v>
      </c>
    </row>
    <row r="419" spans="1:9">
      <c r="A419" s="89" t="s">
        <v>122</v>
      </c>
      <c r="B419" s="89" t="s">
        <v>119</v>
      </c>
      <c r="C419" s="90"/>
      <c r="D419" s="89" t="s">
        <v>98</v>
      </c>
      <c r="E419" s="89"/>
      <c r="F419" s="91">
        <f>WORKDAY(F417,2)</f>
        <v>46307</v>
      </c>
      <c r="G419" s="91">
        <f t="shared" si="53"/>
        <v>46318</v>
      </c>
      <c r="H419" s="89">
        <v>10</v>
      </c>
      <c r="I419" s="89">
        <v>4</v>
      </c>
    </row>
    <row r="420" spans="1:9">
      <c r="A420" s="89" t="s">
        <v>122</v>
      </c>
      <c r="B420" s="89" t="s">
        <v>119</v>
      </c>
      <c r="C420" s="90"/>
      <c r="D420" s="89" t="s">
        <v>101</v>
      </c>
      <c r="E420" s="89"/>
      <c r="F420" s="91">
        <f>WORKDAY(F417,2)</f>
        <v>46307</v>
      </c>
      <c r="G420" s="91">
        <f t="shared" si="53"/>
        <v>46318</v>
      </c>
      <c r="H420" s="89">
        <v>10</v>
      </c>
      <c r="I420" s="89">
        <v>0</v>
      </c>
    </row>
    <row r="421" spans="1:9">
      <c r="A421" s="38" t="s">
        <v>122</v>
      </c>
      <c r="B421" s="38" t="s">
        <v>119</v>
      </c>
      <c r="C421" s="92"/>
      <c r="D421" s="38" t="s">
        <v>103</v>
      </c>
      <c r="E421" s="38"/>
      <c r="F421" s="93">
        <f>WORKDAY(G419,-4)</f>
        <v>46314</v>
      </c>
      <c r="G421" s="93">
        <f t="shared" si="53"/>
        <v>46316</v>
      </c>
      <c r="H421" s="38">
        <v>3</v>
      </c>
      <c r="I421" s="38">
        <v>0</v>
      </c>
    </row>
    <row r="422" spans="1:9">
      <c r="A422" s="38" t="s">
        <v>122</v>
      </c>
      <c r="B422" s="38" t="s">
        <v>119</v>
      </c>
      <c r="C422" s="92"/>
      <c r="D422" s="38" t="s">
        <v>106</v>
      </c>
      <c r="E422" s="38"/>
      <c r="F422" s="93">
        <f>WORKDAY(G419,-4)</f>
        <v>46314</v>
      </c>
      <c r="G422" s="93">
        <f t="shared" si="53"/>
        <v>46325</v>
      </c>
      <c r="H422" s="38">
        <v>10</v>
      </c>
      <c r="I422" s="38">
        <v>5</v>
      </c>
    </row>
    <row r="423" spans="1:9">
      <c r="A423" s="38" t="s">
        <v>122</v>
      </c>
      <c r="B423" s="38" t="s">
        <v>119</v>
      </c>
      <c r="C423" s="92"/>
      <c r="D423" s="38" t="s">
        <v>108</v>
      </c>
      <c r="E423" s="38"/>
      <c r="F423" s="93">
        <f>WORKDAY(G419,-4)</f>
        <v>46314</v>
      </c>
      <c r="G423" s="93">
        <f t="shared" si="53"/>
        <v>46325</v>
      </c>
      <c r="H423" s="38">
        <v>10</v>
      </c>
      <c r="I423" s="38">
        <v>3</v>
      </c>
    </row>
    <row r="424" spans="1:9">
      <c r="A424" s="94" t="s">
        <v>122</v>
      </c>
      <c r="B424" s="94" t="s">
        <v>119</v>
      </c>
      <c r="C424" s="95"/>
      <c r="D424" s="96" t="s">
        <v>109</v>
      </c>
      <c r="E424" s="96"/>
      <c r="F424" s="97">
        <f>WORKDAY(G419,1)</f>
        <v>46321</v>
      </c>
      <c r="G424" s="97">
        <f t="shared" si="53"/>
        <v>46332</v>
      </c>
      <c r="H424" s="94">
        <v>10</v>
      </c>
      <c r="I424" s="94">
        <v>0</v>
      </c>
    </row>
    <row r="425" spans="1:9">
      <c r="A425" s="94" t="s">
        <v>122</v>
      </c>
      <c r="B425" s="94" t="s">
        <v>119</v>
      </c>
      <c r="C425" s="95"/>
      <c r="D425" s="96" t="s">
        <v>112</v>
      </c>
      <c r="E425" s="96"/>
      <c r="F425" s="97">
        <f>WORKDAY(G419,1)</f>
        <v>46321</v>
      </c>
      <c r="G425" s="97">
        <f t="shared" si="53"/>
        <v>46332</v>
      </c>
      <c r="H425" s="94">
        <v>10</v>
      </c>
      <c r="I425" s="94">
        <v>0</v>
      </c>
    </row>
    <row r="426" spans="1:9">
      <c r="A426" s="77" t="s">
        <v>122</v>
      </c>
      <c r="B426" s="77" t="s">
        <v>119</v>
      </c>
      <c r="C426" s="98"/>
      <c r="D426" s="77" t="s">
        <v>113</v>
      </c>
      <c r="E426" s="77"/>
      <c r="F426" s="44">
        <f>WORKDAY(G424,-4)</f>
        <v>46328</v>
      </c>
      <c r="G426" s="44">
        <f t="shared" si="53"/>
        <v>46332</v>
      </c>
      <c r="H426" s="77">
        <v>5</v>
      </c>
      <c r="I426" s="77">
        <v>0</v>
      </c>
    </row>
    <row r="427" spans="1:9">
      <c r="A427" s="77" t="s">
        <v>122</v>
      </c>
      <c r="B427" s="77" t="s">
        <v>119</v>
      </c>
      <c r="C427" s="98"/>
      <c r="D427" s="77" t="s">
        <v>116</v>
      </c>
      <c r="E427" s="77"/>
      <c r="F427" s="44">
        <f>WORKDAY(G424,-4)</f>
        <v>46328</v>
      </c>
      <c r="G427" s="44">
        <f t="shared" si="53"/>
        <v>46332</v>
      </c>
      <c r="H427" s="77">
        <v>5</v>
      </c>
      <c r="I427" s="77">
        <v>0</v>
      </c>
    </row>
    <row r="428" spans="1:9">
      <c r="A428" s="5" t="s">
        <v>123</v>
      </c>
      <c r="B428" s="6" t="s">
        <v>10</v>
      </c>
      <c r="C428" s="7"/>
      <c r="D428" s="6" t="s">
        <v>11</v>
      </c>
      <c r="E428" s="6"/>
      <c r="F428" s="8">
        <f>WORKDAY(G377,6)</f>
        <v>46181</v>
      </c>
      <c r="G428" s="8">
        <f>WORKDAY(F428,H428-1,)</f>
        <v>46192</v>
      </c>
      <c r="H428" s="6">
        <v>10</v>
      </c>
      <c r="I428" s="6">
        <v>36</v>
      </c>
    </row>
    <row r="429" spans="1:9">
      <c r="A429" s="5" t="s">
        <v>123</v>
      </c>
      <c r="B429" s="6" t="s">
        <v>10</v>
      </c>
      <c r="C429" s="7"/>
      <c r="D429" s="6" t="s">
        <v>13</v>
      </c>
      <c r="E429" s="6"/>
      <c r="F429" s="8">
        <f>WORKDAY(G377,6)</f>
        <v>46181</v>
      </c>
      <c r="G429" s="8">
        <f t="shared" ref="G429" si="55">WORKDAY(F429,H429-1,)</f>
        <v>46192</v>
      </c>
      <c r="H429" s="6">
        <v>10</v>
      </c>
      <c r="I429" s="6">
        <v>1</v>
      </c>
    </row>
    <row r="430" spans="1:9">
      <c r="A430" s="5" t="s">
        <v>123</v>
      </c>
      <c r="B430" s="6" t="s">
        <v>10</v>
      </c>
      <c r="C430" s="7"/>
      <c r="D430" s="6" t="s">
        <v>15</v>
      </c>
      <c r="E430" s="6"/>
      <c r="F430" s="8">
        <f>WORKDAY(G377,6)</f>
        <v>46181</v>
      </c>
      <c r="G430" s="8">
        <f>WORKDAY(F430,H430-1,)</f>
        <v>46192</v>
      </c>
      <c r="H430" s="6">
        <v>10</v>
      </c>
      <c r="I430" s="6">
        <v>1</v>
      </c>
    </row>
    <row r="431" spans="1:9">
      <c r="A431" s="11" t="s">
        <v>123</v>
      </c>
      <c r="B431" s="11" t="s">
        <v>10</v>
      </c>
      <c r="C431" s="10"/>
      <c r="D431" s="11" t="s">
        <v>16</v>
      </c>
      <c r="E431" s="11"/>
      <c r="F431" s="12">
        <f>WORKDAY(G430,-4)</f>
        <v>46188</v>
      </c>
      <c r="G431" s="12">
        <f t="shared" ref="G431:G438" si="56">WORKDAY(F431,H431-1,)</f>
        <v>46199</v>
      </c>
      <c r="H431" s="11">
        <v>10</v>
      </c>
      <c r="I431" s="11">
        <v>5</v>
      </c>
    </row>
    <row r="432" spans="1:9">
      <c r="A432" s="11" t="s">
        <v>123</v>
      </c>
      <c r="B432" s="11" t="s">
        <v>10</v>
      </c>
      <c r="C432" s="10"/>
      <c r="D432" s="11" t="s">
        <v>18</v>
      </c>
      <c r="E432" s="11"/>
      <c r="F432" s="12">
        <f>WORKDAY(G430,-4)</f>
        <v>46188</v>
      </c>
      <c r="G432" s="12">
        <f t="shared" si="56"/>
        <v>46199</v>
      </c>
      <c r="H432" s="11">
        <v>10</v>
      </c>
      <c r="I432" s="13">
        <v>4</v>
      </c>
    </row>
    <row r="433" spans="1:9">
      <c r="A433" s="11" t="s">
        <v>123</v>
      </c>
      <c r="B433" s="11" t="s">
        <v>10</v>
      </c>
      <c r="C433" s="10"/>
      <c r="D433" s="11" t="s">
        <v>21</v>
      </c>
      <c r="E433" s="11"/>
      <c r="F433" s="12">
        <f>WORKDAY(G430,-4)</f>
        <v>46188</v>
      </c>
      <c r="G433" s="12">
        <f t="shared" si="56"/>
        <v>46199</v>
      </c>
      <c r="H433" s="11">
        <v>10</v>
      </c>
      <c r="I433" s="11">
        <v>3</v>
      </c>
    </row>
    <row r="434" spans="1:9">
      <c r="A434" s="11" t="s">
        <v>123</v>
      </c>
      <c r="B434" s="11" t="s">
        <v>10</v>
      </c>
      <c r="C434" s="10"/>
      <c r="D434" s="11" t="s">
        <v>24</v>
      </c>
      <c r="E434" s="11"/>
      <c r="F434" s="12">
        <f>WORKDAY(G430,-4)</f>
        <v>46188</v>
      </c>
      <c r="G434" s="12">
        <f t="shared" si="56"/>
        <v>46199</v>
      </c>
      <c r="H434" s="11">
        <v>10</v>
      </c>
      <c r="I434" s="11">
        <v>0</v>
      </c>
    </row>
    <row r="435" spans="1:9">
      <c r="A435" s="17" t="s">
        <v>123</v>
      </c>
      <c r="B435" s="17" t="s">
        <v>10</v>
      </c>
      <c r="C435" s="16"/>
      <c r="D435" s="17" t="s">
        <v>26</v>
      </c>
      <c r="E435" s="17"/>
      <c r="F435" s="18">
        <f>WORKDAY(G434,-4)</f>
        <v>46195</v>
      </c>
      <c r="G435" s="18">
        <f t="shared" si="56"/>
        <v>46206</v>
      </c>
      <c r="H435" s="17">
        <v>10</v>
      </c>
      <c r="I435" s="17">
        <v>2</v>
      </c>
    </row>
    <row r="436" spans="1:9">
      <c r="A436" s="21" t="s">
        <v>123</v>
      </c>
      <c r="B436" s="21" t="s">
        <v>10</v>
      </c>
      <c r="C436" s="20"/>
      <c r="D436" s="21" t="s">
        <v>29</v>
      </c>
      <c r="E436" s="21"/>
      <c r="F436" s="22">
        <f>WORKDAY(F435,5)</f>
        <v>46202</v>
      </c>
      <c r="G436" s="22">
        <f t="shared" si="56"/>
        <v>46206</v>
      </c>
      <c r="H436" s="21">
        <v>5</v>
      </c>
      <c r="I436" s="21">
        <v>4</v>
      </c>
    </row>
    <row r="437" spans="1:9">
      <c r="A437" s="21" t="s">
        <v>123</v>
      </c>
      <c r="B437" s="21" t="s">
        <v>10</v>
      </c>
      <c r="C437" s="20"/>
      <c r="D437" s="21" t="s">
        <v>32</v>
      </c>
      <c r="E437" s="21"/>
      <c r="F437" s="22">
        <f>WORKDAY(G435,1)</f>
        <v>46209</v>
      </c>
      <c r="G437" s="22">
        <f t="shared" si="56"/>
        <v>46213</v>
      </c>
      <c r="H437" s="21">
        <v>5</v>
      </c>
      <c r="I437" s="21">
        <v>1</v>
      </c>
    </row>
    <row r="438" spans="1:9">
      <c r="A438" s="21" t="s">
        <v>123</v>
      </c>
      <c r="B438" s="21" t="s">
        <v>10</v>
      </c>
      <c r="C438" s="20"/>
      <c r="D438" s="21" t="s">
        <v>34</v>
      </c>
      <c r="E438" s="21"/>
      <c r="F438" s="22">
        <f>WORKDAY(G432,1)</f>
        <v>46202</v>
      </c>
      <c r="G438" s="22">
        <f t="shared" si="56"/>
        <v>46213</v>
      </c>
      <c r="H438" s="21">
        <v>10</v>
      </c>
      <c r="I438" s="21">
        <v>3</v>
      </c>
    </row>
    <row r="439" spans="1:9">
      <c r="A439" s="31" t="s">
        <v>123</v>
      </c>
      <c r="B439" s="31" t="s">
        <v>10</v>
      </c>
      <c r="C439" s="30"/>
      <c r="D439" s="31" t="s">
        <v>37</v>
      </c>
      <c r="E439" s="31"/>
      <c r="F439" s="32">
        <f>WORKDAY(G438,1)</f>
        <v>46216</v>
      </c>
      <c r="G439" s="32">
        <f>WORKDAY(F439,H439-1,)</f>
        <v>46227</v>
      </c>
      <c r="H439" s="31">
        <v>10</v>
      </c>
      <c r="I439" s="128">
        <v>5</v>
      </c>
    </row>
    <row r="440" spans="1:9">
      <c r="A440" s="31" t="s">
        <v>123</v>
      </c>
      <c r="B440" s="31" t="s">
        <v>10</v>
      </c>
      <c r="C440" s="30"/>
      <c r="D440" s="31" t="s">
        <v>40</v>
      </c>
      <c r="E440" s="31"/>
      <c r="F440" s="32">
        <f>WORKDAY(G438,1)</f>
        <v>46216</v>
      </c>
      <c r="G440" s="32">
        <f t="shared" ref="G440:G452" si="57">WORKDAY(F440,H440-1,)</f>
        <v>46227</v>
      </c>
      <c r="H440" s="31">
        <v>10</v>
      </c>
      <c r="I440" s="128"/>
    </row>
    <row r="441" spans="1:9">
      <c r="A441" s="31" t="s">
        <v>123</v>
      </c>
      <c r="B441" s="31" t="s">
        <v>10</v>
      </c>
      <c r="C441" s="30"/>
      <c r="D441" s="31" t="s">
        <v>42</v>
      </c>
      <c r="E441" s="31"/>
      <c r="F441" s="32">
        <f>WORKDAY(G438,1)</f>
        <v>46216</v>
      </c>
      <c r="G441" s="32">
        <f t="shared" si="57"/>
        <v>46227</v>
      </c>
      <c r="H441" s="31">
        <v>10</v>
      </c>
      <c r="I441" s="128"/>
    </row>
    <row r="442" spans="1:9">
      <c r="A442" s="31" t="s">
        <v>123</v>
      </c>
      <c r="B442" s="31" t="s">
        <v>10</v>
      </c>
      <c r="C442" s="30"/>
      <c r="D442" s="31" t="s">
        <v>44</v>
      </c>
      <c r="E442" s="31"/>
      <c r="F442" s="32">
        <f>WORKDAY(G438,1)</f>
        <v>46216</v>
      </c>
      <c r="G442" s="32">
        <f t="shared" si="57"/>
        <v>46227</v>
      </c>
      <c r="H442" s="31">
        <v>10</v>
      </c>
      <c r="I442" s="128"/>
    </row>
    <row r="443" spans="1:9">
      <c r="A443" s="31" t="s">
        <v>123</v>
      </c>
      <c r="B443" s="58" t="s">
        <v>10</v>
      </c>
      <c r="C443" s="34"/>
      <c r="D443" s="31" t="s">
        <v>45</v>
      </c>
      <c r="E443" s="31"/>
      <c r="F443" s="32">
        <f>WORKDAY(G438,1)</f>
        <v>46216</v>
      </c>
      <c r="G443" s="32">
        <f t="shared" si="57"/>
        <v>46227</v>
      </c>
      <c r="H443" s="31">
        <v>10</v>
      </c>
      <c r="I443" s="31">
        <v>5</v>
      </c>
    </row>
    <row r="444" spans="1:9">
      <c r="A444" s="25" t="s">
        <v>123</v>
      </c>
      <c r="B444" s="26" t="s">
        <v>10</v>
      </c>
      <c r="C444" s="37"/>
      <c r="D444" s="26" t="s">
        <v>47</v>
      </c>
      <c r="E444" s="26"/>
      <c r="F444" s="27">
        <f>WORKDAY(G443,-4)</f>
        <v>46223</v>
      </c>
      <c r="G444" s="28">
        <f t="shared" si="57"/>
        <v>46234</v>
      </c>
      <c r="H444" s="26">
        <v>10</v>
      </c>
      <c r="I444" s="26">
        <v>11</v>
      </c>
    </row>
    <row r="445" spans="1:9">
      <c r="A445" s="77" t="s">
        <v>123</v>
      </c>
      <c r="B445" s="42" t="s">
        <v>10</v>
      </c>
      <c r="C445" s="41"/>
      <c r="D445" s="42" t="s">
        <v>50</v>
      </c>
      <c r="E445" s="42"/>
      <c r="F445" s="43">
        <f>WORKDAY(G443,1)</f>
        <v>46230</v>
      </c>
      <c r="G445" s="44">
        <f t="shared" si="57"/>
        <v>46230</v>
      </c>
      <c r="H445" s="42">
        <v>1</v>
      </c>
      <c r="I445" s="42">
        <v>0</v>
      </c>
    </row>
    <row r="446" spans="1:9">
      <c r="A446" s="21" t="s">
        <v>123</v>
      </c>
      <c r="B446" s="47" t="s">
        <v>10</v>
      </c>
      <c r="C446" s="46"/>
      <c r="D446" s="47" t="s">
        <v>52</v>
      </c>
      <c r="E446" s="47"/>
      <c r="F446" s="48">
        <f>WORKDAY(G444,1)</f>
        <v>46237</v>
      </c>
      <c r="G446" s="22">
        <f t="shared" si="57"/>
        <v>46248</v>
      </c>
      <c r="H446" s="47">
        <v>10</v>
      </c>
      <c r="I446" s="47">
        <v>5</v>
      </c>
    </row>
    <row r="447" spans="1:9">
      <c r="A447" s="21" t="s">
        <v>123</v>
      </c>
      <c r="B447" s="47" t="s">
        <v>10</v>
      </c>
      <c r="C447" s="46"/>
      <c r="D447" s="49" t="s">
        <v>55</v>
      </c>
      <c r="E447" s="49"/>
      <c r="F447" s="48">
        <f>WORKDAY(G444,1)</f>
        <v>46237</v>
      </c>
      <c r="G447" s="22">
        <f t="shared" si="57"/>
        <v>46248</v>
      </c>
      <c r="H447" s="47">
        <v>10</v>
      </c>
      <c r="I447" s="47">
        <v>0</v>
      </c>
    </row>
    <row r="448" spans="1:9">
      <c r="A448" s="52" t="s">
        <v>123</v>
      </c>
      <c r="B448" s="52" t="s">
        <v>10</v>
      </c>
      <c r="C448" s="51"/>
      <c r="D448" s="52" t="s">
        <v>56</v>
      </c>
      <c r="E448" s="52"/>
      <c r="F448" s="53">
        <f t="shared" ref="F448" si="58">WORKDAY(G447,1)</f>
        <v>46251</v>
      </c>
      <c r="G448" s="53">
        <f t="shared" si="57"/>
        <v>46262</v>
      </c>
      <c r="H448" s="52">
        <v>10</v>
      </c>
      <c r="I448" s="52">
        <v>7</v>
      </c>
    </row>
    <row r="449" spans="1:9">
      <c r="A449" s="52" t="s">
        <v>123</v>
      </c>
      <c r="B449" s="52" t="s">
        <v>10</v>
      </c>
      <c r="C449" s="51"/>
      <c r="D449" s="52" t="s">
        <v>59</v>
      </c>
      <c r="E449" s="52"/>
      <c r="F449" s="53">
        <f>WORKDAY(G447,1)</f>
        <v>46251</v>
      </c>
      <c r="G449" s="53">
        <f t="shared" si="57"/>
        <v>46251</v>
      </c>
      <c r="H449" s="52">
        <v>1</v>
      </c>
      <c r="I449" s="52">
        <v>5</v>
      </c>
    </row>
    <row r="450" spans="1:9">
      <c r="A450" s="56" t="s">
        <v>123</v>
      </c>
      <c r="B450" s="56" t="s">
        <v>10</v>
      </c>
      <c r="C450" s="55"/>
      <c r="D450" s="56" t="s">
        <v>62</v>
      </c>
      <c r="E450" s="56"/>
      <c r="F450" s="57">
        <f>WORKDAY(G448,-4)</f>
        <v>46258</v>
      </c>
      <c r="G450" s="57">
        <f t="shared" si="57"/>
        <v>46269</v>
      </c>
      <c r="H450" s="56">
        <v>10</v>
      </c>
      <c r="I450" s="56">
        <v>10</v>
      </c>
    </row>
    <row r="451" spans="1:9">
      <c r="A451" s="56" t="s">
        <v>123</v>
      </c>
      <c r="B451" s="56" t="s">
        <v>10</v>
      </c>
      <c r="C451" s="55"/>
      <c r="D451" s="56" t="s">
        <v>64</v>
      </c>
      <c r="E451" s="56"/>
      <c r="F451" s="57">
        <f>WORKDAY(F450,1)</f>
        <v>46259</v>
      </c>
      <c r="G451" s="57">
        <f t="shared" si="57"/>
        <v>46269</v>
      </c>
      <c r="H451" s="56">
        <v>9</v>
      </c>
      <c r="I451" s="56">
        <v>0</v>
      </c>
    </row>
    <row r="452" spans="1:9">
      <c r="A452" s="31" t="s">
        <v>123</v>
      </c>
      <c r="B452" s="58" t="s">
        <v>10</v>
      </c>
      <c r="C452" s="34"/>
      <c r="D452" s="58" t="s">
        <v>65</v>
      </c>
      <c r="E452" s="58"/>
      <c r="F452" s="59">
        <f>WORKDAY(G450,1)</f>
        <v>46272</v>
      </c>
      <c r="G452" s="32">
        <f t="shared" si="57"/>
        <v>46283</v>
      </c>
      <c r="H452" s="58">
        <v>10</v>
      </c>
      <c r="I452" s="58">
        <v>4</v>
      </c>
    </row>
    <row r="453" spans="1:9">
      <c r="A453" s="107" t="s">
        <v>123</v>
      </c>
      <c r="B453" s="121" t="s">
        <v>10</v>
      </c>
      <c r="C453" s="63"/>
      <c r="D453" s="64" t="s">
        <v>68</v>
      </c>
      <c r="E453" s="64"/>
      <c r="F453" s="65">
        <f>WORKDAY(G452,1)</f>
        <v>46286</v>
      </c>
      <c r="G453" s="65">
        <f>WORKDAY(F453,H453-1,)</f>
        <v>46297</v>
      </c>
      <c r="H453" s="64">
        <v>10</v>
      </c>
      <c r="I453" s="130">
        <v>4</v>
      </c>
    </row>
    <row r="454" spans="1:9">
      <c r="A454" s="107" t="s">
        <v>123</v>
      </c>
      <c r="B454" s="121" t="s">
        <v>10</v>
      </c>
      <c r="C454" s="63"/>
      <c r="D454" s="64" t="s">
        <v>71</v>
      </c>
      <c r="E454" s="64"/>
      <c r="F454" s="65">
        <f>WORKDAY(G452,1)</f>
        <v>46286</v>
      </c>
      <c r="G454" s="65">
        <f t="shared" ref="G454:G456" si="59">WORKDAY(F453,H453-1,)</f>
        <v>46297</v>
      </c>
      <c r="H454" s="64">
        <v>10</v>
      </c>
      <c r="I454" s="130"/>
    </row>
    <row r="455" spans="1:9">
      <c r="A455" s="107" t="s">
        <v>123</v>
      </c>
      <c r="B455" s="121" t="s">
        <v>10</v>
      </c>
      <c r="C455" s="63"/>
      <c r="D455" s="64" t="s">
        <v>72</v>
      </c>
      <c r="E455" s="64"/>
      <c r="F455" s="65">
        <f>WORKDAY(G452,1)</f>
        <v>46286</v>
      </c>
      <c r="G455" s="65">
        <f t="shared" si="59"/>
        <v>46297</v>
      </c>
      <c r="H455" s="64">
        <v>10</v>
      </c>
      <c r="I455" s="130"/>
    </row>
    <row r="456" spans="1:9">
      <c r="A456" s="107" t="s">
        <v>123</v>
      </c>
      <c r="B456" s="121" t="s">
        <v>10</v>
      </c>
      <c r="C456" s="63"/>
      <c r="D456" s="64" t="s">
        <v>73</v>
      </c>
      <c r="E456" s="64"/>
      <c r="F456" s="65">
        <f>WORKDAY(G452,1)</f>
        <v>46286</v>
      </c>
      <c r="G456" s="65">
        <f t="shared" si="59"/>
        <v>46297</v>
      </c>
      <c r="H456" s="64">
        <v>10</v>
      </c>
      <c r="I456" s="130"/>
    </row>
    <row r="457" spans="1:9">
      <c r="A457" s="107" t="s">
        <v>123</v>
      </c>
      <c r="B457" s="121" t="s">
        <v>10</v>
      </c>
      <c r="C457" s="63"/>
      <c r="D457" s="64" t="s">
        <v>74</v>
      </c>
      <c r="E457" s="64"/>
      <c r="F457" s="65">
        <f>WORKDAY(G452,1)</f>
        <v>46286</v>
      </c>
      <c r="G457" s="66">
        <f>WORKDAY(F457,H457-1,)</f>
        <v>46297</v>
      </c>
      <c r="H457" s="64">
        <v>10</v>
      </c>
      <c r="I457" s="64">
        <v>6</v>
      </c>
    </row>
    <row r="458" spans="1:9">
      <c r="A458" s="107" t="s">
        <v>123</v>
      </c>
      <c r="B458" s="121" t="s">
        <v>10</v>
      </c>
      <c r="C458" s="63"/>
      <c r="D458" s="64" t="s">
        <v>77</v>
      </c>
      <c r="E458" s="64"/>
      <c r="F458" s="65">
        <f>WORKDAY(G452,1)</f>
        <v>46286</v>
      </c>
      <c r="G458" s="66">
        <f t="shared" ref="G458:G480" si="60">WORKDAY(F458,H458-1,)</f>
        <v>46297</v>
      </c>
      <c r="H458" s="64">
        <v>10</v>
      </c>
      <c r="I458" s="64">
        <v>1</v>
      </c>
    </row>
    <row r="459" spans="1:9">
      <c r="A459" s="107" t="s">
        <v>123</v>
      </c>
      <c r="B459" s="121" t="s">
        <v>10</v>
      </c>
      <c r="C459" s="63"/>
      <c r="D459" s="64" t="s">
        <v>80</v>
      </c>
      <c r="E459" s="64"/>
      <c r="F459" s="65">
        <f>WORKDAY(G452,1)</f>
        <v>46286</v>
      </c>
      <c r="G459" s="66">
        <f t="shared" si="60"/>
        <v>46297</v>
      </c>
      <c r="H459" s="64">
        <v>10</v>
      </c>
      <c r="I459" s="64">
        <v>0</v>
      </c>
    </row>
    <row r="460" spans="1:9">
      <c r="A460" s="107" t="s">
        <v>123</v>
      </c>
      <c r="B460" s="121" t="s">
        <v>10</v>
      </c>
      <c r="C460" s="63"/>
      <c r="D460" s="64" t="s">
        <v>81</v>
      </c>
      <c r="E460" s="64"/>
      <c r="F460" s="65">
        <f>WORKDAY(G452,1)</f>
        <v>46286</v>
      </c>
      <c r="G460" s="66">
        <f t="shared" si="60"/>
        <v>46297</v>
      </c>
      <c r="H460" s="64">
        <v>10</v>
      </c>
      <c r="I460" s="64">
        <v>4</v>
      </c>
    </row>
    <row r="461" spans="1:9">
      <c r="A461" s="70" t="s">
        <v>123</v>
      </c>
      <c r="B461" s="70" t="s">
        <v>10</v>
      </c>
      <c r="C461" s="69"/>
      <c r="D461" s="70" t="s">
        <v>82</v>
      </c>
      <c r="E461" s="70"/>
      <c r="F461" s="71">
        <f t="shared" ref="F461" si="61">WORKDAY(G460,1)</f>
        <v>46300</v>
      </c>
      <c r="G461" s="71">
        <f t="shared" si="60"/>
        <v>46311</v>
      </c>
      <c r="H461" s="70">
        <v>10</v>
      </c>
      <c r="I461" s="70">
        <v>4</v>
      </c>
    </row>
    <row r="462" spans="1:9">
      <c r="A462" s="77" t="s">
        <v>123</v>
      </c>
      <c r="B462" s="75" t="s">
        <v>10</v>
      </c>
      <c r="C462" s="74"/>
      <c r="D462" s="75" t="s">
        <v>85</v>
      </c>
      <c r="E462" s="75"/>
      <c r="F462" s="76">
        <f>WORKDAY(G461,-1)</f>
        <v>46310</v>
      </c>
      <c r="G462" s="44">
        <f t="shared" si="60"/>
        <v>46314</v>
      </c>
      <c r="H462" s="75">
        <v>3</v>
      </c>
      <c r="I462" s="75">
        <v>12</v>
      </c>
    </row>
    <row r="463" spans="1:9">
      <c r="A463" s="77" t="s">
        <v>123</v>
      </c>
      <c r="B463" s="75" t="s">
        <v>10</v>
      </c>
      <c r="C463" s="74"/>
      <c r="D463" s="75" t="s">
        <v>86</v>
      </c>
      <c r="E463" s="75"/>
      <c r="F463" s="76">
        <f>WORKDAY(G461,1)</f>
        <v>46314</v>
      </c>
      <c r="G463" s="44">
        <f t="shared" si="60"/>
        <v>46325</v>
      </c>
      <c r="H463" s="75">
        <v>10</v>
      </c>
      <c r="I463" s="75">
        <v>0</v>
      </c>
    </row>
    <row r="464" spans="1:9">
      <c r="A464" s="78" t="s">
        <v>123</v>
      </c>
      <c r="B464" s="79" t="s">
        <v>10</v>
      </c>
      <c r="C464" s="80"/>
      <c r="D464" s="79" t="s">
        <v>87</v>
      </c>
      <c r="E464" s="79"/>
      <c r="F464" s="81">
        <f>WORKDAY(F462,4)</f>
        <v>46316</v>
      </c>
      <c r="G464" s="82">
        <f t="shared" si="60"/>
        <v>46329</v>
      </c>
      <c r="H464" s="79">
        <v>10</v>
      </c>
      <c r="I464" s="79">
        <v>4</v>
      </c>
    </row>
    <row r="465" spans="1:9">
      <c r="A465" s="83" t="s">
        <v>123</v>
      </c>
      <c r="B465" s="83" t="s">
        <v>10</v>
      </c>
      <c r="C465" s="84"/>
      <c r="D465" s="83" t="s">
        <v>89</v>
      </c>
      <c r="E465" s="83"/>
      <c r="F465" s="85">
        <f>WORKDAY(F464,3)</f>
        <v>46321</v>
      </c>
      <c r="G465" s="85">
        <f t="shared" si="60"/>
        <v>46332</v>
      </c>
      <c r="H465" s="83">
        <v>10</v>
      </c>
      <c r="I465" s="127">
        <v>1</v>
      </c>
    </row>
    <row r="466" spans="1:9">
      <c r="A466" s="83" t="s">
        <v>123</v>
      </c>
      <c r="B466" s="83" t="s">
        <v>10</v>
      </c>
      <c r="C466" s="84"/>
      <c r="D466" s="83" t="s">
        <v>91</v>
      </c>
      <c r="E466" s="83"/>
      <c r="F466" s="85">
        <f>WORKDAY(F464,3)</f>
        <v>46321</v>
      </c>
      <c r="G466" s="85">
        <f t="shared" si="60"/>
        <v>46332</v>
      </c>
      <c r="H466" s="83">
        <v>10</v>
      </c>
      <c r="I466" s="127"/>
    </row>
    <row r="467" spans="1:9">
      <c r="A467" s="83" t="s">
        <v>123</v>
      </c>
      <c r="B467" s="83" t="s">
        <v>10</v>
      </c>
      <c r="C467" s="84"/>
      <c r="D467" s="83" t="s">
        <v>92</v>
      </c>
      <c r="E467" s="83"/>
      <c r="F467" s="85">
        <f>WORKDAY(F464,3)</f>
        <v>46321</v>
      </c>
      <c r="G467" s="85">
        <f t="shared" si="60"/>
        <v>46332</v>
      </c>
      <c r="H467" s="83">
        <v>10</v>
      </c>
      <c r="I467" s="127"/>
    </row>
    <row r="468" spans="1:9">
      <c r="A468" s="83" t="s">
        <v>123</v>
      </c>
      <c r="B468" s="83" t="s">
        <v>10</v>
      </c>
      <c r="C468" s="84"/>
      <c r="D468" s="83" t="s">
        <v>93</v>
      </c>
      <c r="E468" s="83"/>
      <c r="F468" s="85">
        <f>WORKDAY(F464,3)</f>
        <v>46321</v>
      </c>
      <c r="G468" s="85">
        <f t="shared" si="60"/>
        <v>46332</v>
      </c>
      <c r="H468" s="83">
        <v>10</v>
      </c>
      <c r="I468" s="127"/>
    </row>
    <row r="469" spans="1:9">
      <c r="A469" s="83" t="s">
        <v>123</v>
      </c>
      <c r="B469" s="83" t="s">
        <v>10</v>
      </c>
      <c r="C469" s="84"/>
      <c r="D469" s="83" t="s">
        <v>94</v>
      </c>
      <c r="E469" s="83"/>
      <c r="F469" s="85">
        <f>WORKDAY(F464,3)</f>
        <v>46321</v>
      </c>
      <c r="G469" s="85">
        <f t="shared" si="60"/>
        <v>46332</v>
      </c>
      <c r="H469" s="83">
        <v>10</v>
      </c>
      <c r="I469" s="83">
        <v>1</v>
      </c>
    </row>
    <row r="470" spans="1:9">
      <c r="A470" s="86" t="s">
        <v>123</v>
      </c>
      <c r="B470" s="86" t="s">
        <v>10</v>
      </c>
      <c r="C470" s="87"/>
      <c r="D470" s="86" t="s">
        <v>95</v>
      </c>
      <c r="E470" s="86"/>
      <c r="F470" s="88">
        <f>WORKDAY(F469,3)</f>
        <v>46324</v>
      </c>
      <c r="G470" s="88">
        <f t="shared" si="60"/>
        <v>46332</v>
      </c>
      <c r="H470" s="86">
        <v>7</v>
      </c>
      <c r="I470" s="86">
        <v>0</v>
      </c>
    </row>
    <row r="471" spans="1:9">
      <c r="A471" s="89" t="s">
        <v>123</v>
      </c>
      <c r="B471" s="89" t="s">
        <v>10</v>
      </c>
      <c r="C471" s="90"/>
      <c r="D471" s="89" t="s">
        <v>96</v>
      </c>
      <c r="E471" s="89"/>
      <c r="F471" s="91">
        <f>WORKDAY(F470,2)</f>
        <v>46328</v>
      </c>
      <c r="G471" s="91">
        <f t="shared" si="60"/>
        <v>46339</v>
      </c>
      <c r="H471" s="89">
        <v>10</v>
      </c>
      <c r="I471" s="89">
        <v>2</v>
      </c>
    </row>
    <row r="472" spans="1:9">
      <c r="A472" s="89" t="s">
        <v>123</v>
      </c>
      <c r="B472" s="89" t="s">
        <v>10</v>
      </c>
      <c r="C472" s="90"/>
      <c r="D472" s="89" t="s">
        <v>98</v>
      </c>
      <c r="E472" s="89"/>
      <c r="F472" s="91">
        <f>WORKDAY(F470,2)</f>
        <v>46328</v>
      </c>
      <c r="G472" s="91">
        <f t="shared" si="60"/>
        <v>46339</v>
      </c>
      <c r="H472" s="89">
        <v>10</v>
      </c>
      <c r="I472" s="89">
        <v>9</v>
      </c>
    </row>
    <row r="473" spans="1:9">
      <c r="A473" s="89" t="s">
        <v>123</v>
      </c>
      <c r="B473" s="89" t="s">
        <v>10</v>
      </c>
      <c r="C473" s="90"/>
      <c r="D473" s="89" t="s">
        <v>101</v>
      </c>
      <c r="E473" s="89"/>
      <c r="F473" s="91">
        <f>WORKDAY(F470,2)</f>
        <v>46328</v>
      </c>
      <c r="G473" s="91">
        <f t="shared" si="60"/>
        <v>46339</v>
      </c>
      <c r="H473" s="89">
        <v>10</v>
      </c>
      <c r="I473" s="89">
        <v>0</v>
      </c>
    </row>
    <row r="474" spans="1:9">
      <c r="A474" s="38" t="s">
        <v>123</v>
      </c>
      <c r="B474" s="38" t="s">
        <v>10</v>
      </c>
      <c r="C474" s="92"/>
      <c r="D474" s="38" t="s">
        <v>103</v>
      </c>
      <c r="E474" s="38"/>
      <c r="F474" s="93">
        <f>WORKDAY(G472,-4)</f>
        <v>46335</v>
      </c>
      <c r="G474" s="93">
        <f t="shared" si="60"/>
        <v>46337</v>
      </c>
      <c r="H474" s="38">
        <v>3</v>
      </c>
      <c r="I474" s="38">
        <v>0</v>
      </c>
    </row>
    <row r="475" spans="1:9">
      <c r="A475" s="38" t="s">
        <v>123</v>
      </c>
      <c r="B475" s="38" t="s">
        <v>10</v>
      </c>
      <c r="C475" s="92"/>
      <c r="D475" s="38" t="s">
        <v>106</v>
      </c>
      <c r="E475" s="38"/>
      <c r="F475" s="93">
        <f>WORKDAY(G472,-4)</f>
        <v>46335</v>
      </c>
      <c r="G475" s="93">
        <f t="shared" si="60"/>
        <v>46346</v>
      </c>
      <c r="H475" s="38">
        <v>10</v>
      </c>
      <c r="I475" s="38">
        <v>10</v>
      </c>
    </row>
    <row r="476" spans="1:9">
      <c r="A476" s="38" t="s">
        <v>123</v>
      </c>
      <c r="B476" s="38" t="s">
        <v>10</v>
      </c>
      <c r="C476" s="92"/>
      <c r="D476" s="38" t="s">
        <v>108</v>
      </c>
      <c r="E476" s="38"/>
      <c r="F476" s="93">
        <f>WORKDAY(G472,-4)</f>
        <v>46335</v>
      </c>
      <c r="G476" s="93">
        <f t="shared" si="60"/>
        <v>46346</v>
      </c>
      <c r="H476" s="38">
        <v>10</v>
      </c>
      <c r="I476" s="38">
        <v>6</v>
      </c>
    </row>
    <row r="477" spans="1:9">
      <c r="A477" s="94" t="s">
        <v>123</v>
      </c>
      <c r="B477" s="94" t="s">
        <v>10</v>
      </c>
      <c r="C477" s="95"/>
      <c r="D477" s="96" t="s">
        <v>109</v>
      </c>
      <c r="E477" s="96"/>
      <c r="F477" s="97">
        <f>WORKDAY(G472,1)</f>
        <v>46342</v>
      </c>
      <c r="G477" s="97">
        <f t="shared" si="60"/>
        <v>46353</v>
      </c>
      <c r="H477" s="94">
        <v>10</v>
      </c>
      <c r="I477" s="94">
        <v>0</v>
      </c>
    </row>
    <row r="478" spans="1:9">
      <c r="A478" s="94" t="s">
        <v>123</v>
      </c>
      <c r="B478" s="94" t="s">
        <v>10</v>
      </c>
      <c r="C478" s="95"/>
      <c r="D478" s="96" t="s">
        <v>112</v>
      </c>
      <c r="E478" s="96"/>
      <c r="F478" s="97">
        <f>WORKDAY(G472,1)</f>
        <v>46342</v>
      </c>
      <c r="G478" s="97">
        <f t="shared" si="60"/>
        <v>46353</v>
      </c>
      <c r="H478" s="94">
        <v>10</v>
      </c>
      <c r="I478" s="94">
        <v>0</v>
      </c>
    </row>
    <row r="479" spans="1:9">
      <c r="A479" s="77" t="s">
        <v>123</v>
      </c>
      <c r="B479" s="77" t="s">
        <v>10</v>
      </c>
      <c r="C479" s="98"/>
      <c r="D479" s="77" t="s">
        <v>113</v>
      </c>
      <c r="E479" s="77"/>
      <c r="F479" s="44">
        <f>WORKDAY(G477,-4)</f>
        <v>46349</v>
      </c>
      <c r="G479" s="44">
        <f t="shared" si="60"/>
        <v>46353</v>
      </c>
      <c r="H479" s="77">
        <v>5</v>
      </c>
      <c r="I479" s="77">
        <v>1</v>
      </c>
    </row>
    <row r="480" spans="1:9">
      <c r="A480" s="77" t="s">
        <v>123</v>
      </c>
      <c r="B480" s="77" t="s">
        <v>10</v>
      </c>
      <c r="C480" s="98"/>
      <c r="D480" s="77" t="s">
        <v>116</v>
      </c>
      <c r="E480" s="77"/>
      <c r="F480" s="44">
        <f>WORKDAY(G477,-4)</f>
        <v>46349</v>
      </c>
      <c r="G480" s="44">
        <f t="shared" si="60"/>
        <v>46353</v>
      </c>
      <c r="H480" s="77">
        <v>5</v>
      </c>
      <c r="I480" s="77">
        <v>0</v>
      </c>
    </row>
    <row r="481" spans="1:9">
      <c r="A481" s="5" t="s">
        <v>123</v>
      </c>
      <c r="B481" s="99" t="s">
        <v>117</v>
      </c>
      <c r="C481" s="100"/>
      <c r="D481" s="6" t="s">
        <v>11</v>
      </c>
      <c r="E481" s="6"/>
      <c r="F481" s="8">
        <f>WORKDAY(G430,1)</f>
        <v>46195</v>
      </c>
      <c r="G481" s="8">
        <f>WORKDAY(F481,H481-1,)</f>
        <v>46206</v>
      </c>
      <c r="H481" s="6">
        <v>10</v>
      </c>
      <c r="I481" s="6">
        <v>36</v>
      </c>
    </row>
    <row r="482" spans="1:9">
      <c r="A482" s="5" t="s">
        <v>123</v>
      </c>
      <c r="B482" s="99" t="s">
        <v>117</v>
      </c>
      <c r="C482" s="100"/>
      <c r="D482" s="6" t="s">
        <v>13</v>
      </c>
      <c r="E482" s="6"/>
      <c r="F482" s="8">
        <f>WORKDAY(G430,1)</f>
        <v>46195</v>
      </c>
      <c r="G482" s="8">
        <f t="shared" ref="G482" si="62">WORKDAY(F482,H482-1,)</f>
        <v>46206</v>
      </c>
      <c r="H482" s="6">
        <v>10</v>
      </c>
      <c r="I482" s="6">
        <v>1</v>
      </c>
    </row>
    <row r="483" spans="1:9">
      <c r="A483" s="5" t="s">
        <v>123</v>
      </c>
      <c r="B483" s="99" t="s">
        <v>117</v>
      </c>
      <c r="C483" s="100"/>
      <c r="D483" s="6" t="s">
        <v>15</v>
      </c>
      <c r="E483" s="6"/>
      <c r="F483" s="8">
        <f>WORKDAY(G430,1)</f>
        <v>46195</v>
      </c>
      <c r="G483" s="8">
        <f>WORKDAY(F483,H483-1,)</f>
        <v>46206</v>
      </c>
      <c r="H483" s="6">
        <v>10</v>
      </c>
      <c r="I483" s="6">
        <v>1</v>
      </c>
    </row>
    <row r="484" spans="1:9">
      <c r="A484" s="11" t="s">
        <v>123</v>
      </c>
      <c r="B484" s="101" t="s">
        <v>117</v>
      </c>
      <c r="C484" s="102"/>
      <c r="D484" s="11" t="s">
        <v>16</v>
      </c>
      <c r="E484" s="11"/>
      <c r="F484" s="12">
        <f>WORKDAY(G483,-4)</f>
        <v>46202</v>
      </c>
      <c r="G484" s="12">
        <f t="shared" ref="G484:G491" si="63">WORKDAY(F484,H484-1,)</f>
        <v>46213</v>
      </c>
      <c r="H484" s="11">
        <v>10</v>
      </c>
      <c r="I484" s="11">
        <v>5</v>
      </c>
    </row>
    <row r="485" spans="1:9">
      <c r="A485" s="11" t="s">
        <v>123</v>
      </c>
      <c r="B485" s="101" t="s">
        <v>117</v>
      </c>
      <c r="C485" s="102"/>
      <c r="D485" s="11" t="s">
        <v>18</v>
      </c>
      <c r="E485" s="11"/>
      <c r="F485" s="12">
        <f>WORKDAY(G483,-4)</f>
        <v>46202</v>
      </c>
      <c r="G485" s="12">
        <f t="shared" si="63"/>
        <v>46213</v>
      </c>
      <c r="H485" s="11">
        <v>10</v>
      </c>
      <c r="I485" s="13">
        <v>4</v>
      </c>
    </row>
    <row r="486" spans="1:9">
      <c r="A486" s="11" t="s">
        <v>123</v>
      </c>
      <c r="B486" s="101" t="s">
        <v>117</v>
      </c>
      <c r="C486" s="102"/>
      <c r="D486" s="11" t="s">
        <v>21</v>
      </c>
      <c r="E486" s="11"/>
      <c r="F486" s="12">
        <f>WORKDAY(G483,-4)</f>
        <v>46202</v>
      </c>
      <c r="G486" s="12">
        <f t="shared" si="63"/>
        <v>46213</v>
      </c>
      <c r="H486" s="11">
        <v>10</v>
      </c>
      <c r="I486" s="11">
        <v>3</v>
      </c>
    </row>
    <row r="487" spans="1:9">
      <c r="A487" s="11" t="s">
        <v>123</v>
      </c>
      <c r="B487" s="101" t="s">
        <v>117</v>
      </c>
      <c r="C487" s="102"/>
      <c r="D487" s="11" t="s">
        <v>24</v>
      </c>
      <c r="E487" s="11"/>
      <c r="F487" s="12">
        <f>WORKDAY(G483,-4)</f>
        <v>46202</v>
      </c>
      <c r="G487" s="12">
        <f t="shared" si="63"/>
        <v>46213</v>
      </c>
      <c r="H487" s="11">
        <v>10</v>
      </c>
      <c r="I487" s="11">
        <v>0</v>
      </c>
    </row>
    <row r="488" spans="1:9">
      <c r="A488" s="17" t="s">
        <v>123</v>
      </c>
      <c r="B488" s="103" t="s">
        <v>117</v>
      </c>
      <c r="C488" s="104"/>
      <c r="D488" s="17" t="s">
        <v>26</v>
      </c>
      <c r="E488" s="17"/>
      <c r="F488" s="18">
        <f>WORKDAY(G487,-4)</f>
        <v>46209</v>
      </c>
      <c r="G488" s="18">
        <f t="shared" si="63"/>
        <v>46220</v>
      </c>
      <c r="H488" s="17">
        <v>10</v>
      </c>
      <c r="I488" s="17">
        <v>2</v>
      </c>
    </row>
    <row r="489" spans="1:9">
      <c r="A489" s="21" t="s">
        <v>123</v>
      </c>
      <c r="B489" s="21" t="s">
        <v>117</v>
      </c>
      <c r="C489" s="20"/>
      <c r="D489" s="21" t="s">
        <v>29</v>
      </c>
      <c r="E489" s="21"/>
      <c r="F489" s="22">
        <f>WORKDAY(F488,5)</f>
        <v>46216</v>
      </c>
      <c r="G489" s="22">
        <f t="shared" si="63"/>
        <v>46220</v>
      </c>
      <c r="H489" s="21">
        <v>5</v>
      </c>
      <c r="I489" s="21">
        <v>4</v>
      </c>
    </row>
    <row r="490" spans="1:9">
      <c r="A490" s="21" t="s">
        <v>123</v>
      </c>
      <c r="B490" s="21" t="s">
        <v>117</v>
      </c>
      <c r="C490" s="20"/>
      <c r="D490" s="21" t="s">
        <v>32</v>
      </c>
      <c r="E490" s="21"/>
      <c r="F490" s="22">
        <f>WORKDAY(G488,1)</f>
        <v>46223</v>
      </c>
      <c r="G490" s="22">
        <f t="shared" si="63"/>
        <v>46227</v>
      </c>
      <c r="H490" s="21">
        <v>5</v>
      </c>
      <c r="I490" s="21">
        <v>1</v>
      </c>
    </row>
    <row r="491" spans="1:9">
      <c r="A491" s="21" t="s">
        <v>123</v>
      </c>
      <c r="B491" s="21" t="s">
        <v>117</v>
      </c>
      <c r="C491" s="20"/>
      <c r="D491" s="21" t="s">
        <v>34</v>
      </c>
      <c r="E491" s="21"/>
      <c r="F491" s="22">
        <f>WORKDAY(G485,1)</f>
        <v>46216</v>
      </c>
      <c r="G491" s="22">
        <f t="shared" si="63"/>
        <v>46227</v>
      </c>
      <c r="H491" s="21">
        <v>10</v>
      </c>
      <c r="I491" s="21">
        <v>3</v>
      </c>
    </row>
    <row r="492" spans="1:9">
      <c r="A492" s="31" t="s">
        <v>123</v>
      </c>
      <c r="B492" s="31" t="s">
        <v>117</v>
      </c>
      <c r="C492" s="30"/>
      <c r="D492" s="31" t="s">
        <v>37</v>
      </c>
      <c r="E492" s="31"/>
      <c r="F492" s="32">
        <f>WORKDAY(G491,1)</f>
        <v>46230</v>
      </c>
      <c r="G492" s="32">
        <f>WORKDAY(F492,H492-1,)</f>
        <v>46241</v>
      </c>
      <c r="H492" s="31">
        <v>10</v>
      </c>
      <c r="I492" s="128">
        <v>5</v>
      </c>
    </row>
    <row r="493" spans="1:9">
      <c r="A493" s="31" t="s">
        <v>123</v>
      </c>
      <c r="B493" s="31" t="s">
        <v>117</v>
      </c>
      <c r="C493" s="30"/>
      <c r="D493" s="31" t="s">
        <v>40</v>
      </c>
      <c r="E493" s="31"/>
      <c r="F493" s="32">
        <f>WORKDAY(G491,1)</f>
        <v>46230</v>
      </c>
      <c r="G493" s="32">
        <f t="shared" ref="G493:G505" si="64">WORKDAY(F493,H493-1,)</f>
        <v>46241</v>
      </c>
      <c r="H493" s="31">
        <v>10</v>
      </c>
      <c r="I493" s="128"/>
    </row>
    <row r="494" spans="1:9">
      <c r="A494" s="31" t="s">
        <v>123</v>
      </c>
      <c r="B494" s="31" t="s">
        <v>117</v>
      </c>
      <c r="C494" s="30"/>
      <c r="D494" s="31" t="s">
        <v>42</v>
      </c>
      <c r="E494" s="31"/>
      <c r="F494" s="32">
        <f>WORKDAY(G491,1)</f>
        <v>46230</v>
      </c>
      <c r="G494" s="32">
        <f t="shared" si="64"/>
        <v>46241</v>
      </c>
      <c r="H494" s="31">
        <v>10</v>
      </c>
      <c r="I494" s="128"/>
    </row>
    <row r="495" spans="1:9">
      <c r="A495" s="31" t="s">
        <v>123</v>
      </c>
      <c r="B495" s="31" t="s">
        <v>117</v>
      </c>
      <c r="C495" s="30"/>
      <c r="D495" s="31" t="s">
        <v>44</v>
      </c>
      <c r="E495" s="31"/>
      <c r="F495" s="32">
        <f>WORKDAY(G491,1)</f>
        <v>46230</v>
      </c>
      <c r="G495" s="32">
        <f t="shared" si="64"/>
        <v>46241</v>
      </c>
      <c r="H495" s="31">
        <v>10</v>
      </c>
      <c r="I495" s="128"/>
    </row>
    <row r="496" spans="1:9">
      <c r="A496" s="31" t="s">
        <v>123</v>
      </c>
      <c r="B496" s="31" t="s">
        <v>117</v>
      </c>
      <c r="C496" s="30"/>
      <c r="D496" s="31" t="s">
        <v>45</v>
      </c>
      <c r="E496" s="31"/>
      <c r="F496" s="32">
        <f>WORKDAY(G491,1)</f>
        <v>46230</v>
      </c>
      <c r="G496" s="32">
        <f t="shared" si="64"/>
        <v>46241</v>
      </c>
      <c r="H496" s="31">
        <v>10</v>
      </c>
      <c r="I496" s="31">
        <v>5</v>
      </c>
    </row>
    <row r="497" spans="1:9">
      <c r="A497" s="25" t="s">
        <v>123</v>
      </c>
      <c r="B497" s="25" t="s">
        <v>117</v>
      </c>
      <c r="C497" s="105"/>
      <c r="D497" s="26" t="s">
        <v>47</v>
      </c>
      <c r="E497" s="26"/>
      <c r="F497" s="27">
        <f>WORKDAY(G496,-4)</f>
        <v>46237</v>
      </c>
      <c r="G497" s="28">
        <f t="shared" si="64"/>
        <v>46248</v>
      </c>
      <c r="H497" s="26">
        <v>10</v>
      </c>
      <c r="I497" s="26">
        <v>11</v>
      </c>
    </row>
    <row r="498" spans="1:9">
      <c r="A498" s="77" t="s">
        <v>123</v>
      </c>
      <c r="B498" s="77" t="s">
        <v>117</v>
      </c>
      <c r="C498" s="98"/>
      <c r="D498" s="42" t="s">
        <v>50</v>
      </c>
      <c r="E498" s="42"/>
      <c r="F498" s="43">
        <f>WORKDAY(G496,1)</f>
        <v>46244</v>
      </c>
      <c r="G498" s="44">
        <f t="shared" si="64"/>
        <v>46244</v>
      </c>
      <c r="H498" s="42">
        <v>1</v>
      </c>
      <c r="I498" s="42">
        <v>0</v>
      </c>
    </row>
    <row r="499" spans="1:9">
      <c r="A499" s="21" t="s">
        <v>123</v>
      </c>
      <c r="B499" s="21" t="s">
        <v>117</v>
      </c>
      <c r="C499" s="20"/>
      <c r="D499" s="47" t="s">
        <v>52</v>
      </c>
      <c r="E499" s="47"/>
      <c r="F499" s="48">
        <f>WORKDAY(G497,1)</f>
        <v>46251</v>
      </c>
      <c r="G499" s="22">
        <f t="shared" si="64"/>
        <v>46262</v>
      </c>
      <c r="H499" s="47">
        <v>10</v>
      </c>
      <c r="I499" s="47">
        <v>5</v>
      </c>
    </row>
    <row r="500" spans="1:9">
      <c r="A500" s="21" t="s">
        <v>123</v>
      </c>
      <c r="B500" s="21" t="s">
        <v>117</v>
      </c>
      <c r="C500" s="20"/>
      <c r="D500" s="49" t="s">
        <v>55</v>
      </c>
      <c r="E500" s="49"/>
      <c r="F500" s="48">
        <f>WORKDAY(G497,1)</f>
        <v>46251</v>
      </c>
      <c r="G500" s="22">
        <f t="shared" si="64"/>
        <v>46262</v>
      </c>
      <c r="H500" s="47">
        <v>10</v>
      </c>
      <c r="I500" s="47">
        <v>0</v>
      </c>
    </row>
    <row r="501" spans="1:9">
      <c r="A501" s="52" t="s">
        <v>123</v>
      </c>
      <c r="B501" s="52" t="s">
        <v>117</v>
      </c>
      <c r="C501" s="51"/>
      <c r="D501" s="52" t="s">
        <v>56</v>
      </c>
      <c r="E501" s="52"/>
      <c r="F501" s="53">
        <f t="shared" ref="F501" si="65">WORKDAY(G500,1)</f>
        <v>46265</v>
      </c>
      <c r="G501" s="53">
        <f t="shared" si="64"/>
        <v>46276</v>
      </c>
      <c r="H501" s="52">
        <v>10</v>
      </c>
      <c r="I501" s="52">
        <v>7</v>
      </c>
    </row>
    <row r="502" spans="1:9">
      <c r="A502" s="52" t="s">
        <v>123</v>
      </c>
      <c r="B502" s="52" t="s">
        <v>117</v>
      </c>
      <c r="C502" s="51"/>
      <c r="D502" s="52" t="s">
        <v>59</v>
      </c>
      <c r="E502" s="52"/>
      <c r="F502" s="53">
        <f>WORKDAY(G500,1)</f>
        <v>46265</v>
      </c>
      <c r="G502" s="53">
        <f t="shared" si="64"/>
        <v>46265</v>
      </c>
      <c r="H502" s="52">
        <v>1</v>
      </c>
      <c r="I502" s="52">
        <v>5</v>
      </c>
    </row>
    <row r="503" spans="1:9">
      <c r="A503" s="56" t="s">
        <v>123</v>
      </c>
      <c r="B503" s="56" t="s">
        <v>117</v>
      </c>
      <c r="C503" s="55"/>
      <c r="D503" s="56" t="s">
        <v>62</v>
      </c>
      <c r="E503" s="56"/>
      <c r="F503" s="57">
        <f>WORKDAY(G501,-4)</f>
        <v>46272</v>
      </c>
      <c r="G503" s="57">
        <f t="shared" si="64"/>
        <v>46283</v>
      </c>
      <c r="H503" s="56">
        <v>10</v>
      </c>
      <c r="I503" s="56">
        <v>10</v>
      </c>
    </row>
    <row r="504" spans="1:9">
      <c r="A504" s="56" t="s">
        <v>123</v>
      </c>
      <c r="B504" s="56" t="s">
        <v>117</v>
      </c>
      <c r="C504" s="55"/>
      <c r="D504" s="56" t="s">
        <v>64</v>
      </c>
      <c r="E504" s="56"/>
      <c r="F504" s="57">
        <f>WORKDAY(F503,1)</f>
        <v>46273</v>
      </c>
      <c r="G504" s="57">
        <f t="shared" si="64"/>
        <v>46283</v>
      </c>
      <c r="H504" s="56">
        <v>9</v>
      </c>
      <c r="I504" s="56">
        <v>0</v>
      </c>
    </row>
    <row r="505" spans="1:9">
      <c r="A505" s="31" t="s">
        <v>123</v>
      </c>
      <c r="B505" s="31" t="s">
        <v>117</v>
      </c>
      <c r="C505" s="30"/>
      <c r="D505" s="58" t="s">
        <v>65</v>
      </c>
      <c r="E505" s="58"/>
      <c r="F505" s="59">
        <f>WORKDAY(G503,1)</f>
        <v>46286</v>
      </c>
      <c r="G505" s="32">
        <f t="shared" si="64"/>
        <v>46297</v>
      </c>
      <c r="H505" s="58">
        <v>10</v>
      </c>
      <c r="I505" s="58">
        <v>4</v>
      </c>
    </row>
    <row r="506" spans="1:9">
      <c r="A506" s="106" t="s">
        <v>123</v>
      </c>
      <c r="B506" s="107" t="s">
        <v>117</v>
      </c>
      <c r="C506" s="108"/>
      <c r="D506" s="64" t="s">
        <v>68</v>
      </c>
      <c r="E506" s="64"/>
      <c r="F506" s="65">
        <f>WORKDAY(G505,1)</f>
        <v>46300</v>
      </c>
      <c r="G506" s="65">
        <f>WORKDAY(F506,H506-1,)</f>
        <v>46311</v>
      </c>
      <c r="H506" s="64">
        <v>10</v>
      </c>
      <c r="I506" s="130">
        <v>4</v>
      </c>
    </row>
    <row r="507" spans="1:9">
      <c r="A507" s="106" t="s">
        <v>123</v>
      </c>
      <c r="B507" s="107" t="s">
        <v>117</v>
      </c>
      <c r="C507" s="108"/>
      <c r="D507" s="64" t="s">
        <v>71</v>
      </c>
      <c r="E507" s="64"/>
      <c r="F507" s="65">
        <f>WORKDAY(G505,1)</f>
        <v>46300</v>
      </c>
      <c r="G507" s="65">
        <f t="shared" ref="G507:G509" si="66">WORKDAY(F506,H506-1,)</f>
        <v>46311</v>
      </c>
      <c r="H507" s="64">
        <v>10</v>
      </c>
      <c r="I507" s="130"/>
    </row>
    <row r="508" spans="1:9">
      <c r="A508" s="106" t="s">
        <v>123</v>
      </c>
      <c r="B508" s="107" t="s">
        <v>117</v>
      </c>
      <c r="C508" s="108"/>
      <c r="D508" s="64" t="s">
        <v>72</v>
      </c>
      <c r="E508" s="64"/>
      <c r="F508" s="65">
        <f>WORKDAY(G505,1)</f>
        <v>46300</v>
      </c>
      <c r="G508" s="65">
        <f t="shared" si="66"/>
        <v>46311</v>
      </c>
      <c r="H508" s="64">
        <v>10</v>
      </c>
      <c r="I508" s="130"/>
    </row>
    <row r="509" spans="1:9">
      <c r="A509" s="106" t="s">
        <v>123</v>
      </c>
      <c r="B509" s="107" t="s">
        <v>117</v>
      </c>
      <c r="C509" s="108"/>
      <c r="D509" s="64" t="s">
        <v>73</v>
      </c>
      <c r="E509" s="64"/>
      <c r="F509" s="65">
        <f>WORKDAY(G505,1)</f>
        <v>46300</v>
      </c>
      <c r="G509" s="65">
        <f t="shared" si="66"/>
        <v>46311</v>
      </c>
      <c r="H509" s="64">
        <v>10</v>
      </c>
      <c r="I509" s="130"/>
    </row>
    <row r="510" spans="1:9">
      <c r="A510" s="107" t="s">
        <v>123</v>
      </c>
      <c r="B510" s="107" t="s">
        <v>117</v>
      </c>
      <c r="C510" s="108"/>
      <c r="D510" s="64" t="s">
        <v>74</v>
      </c>
      <c r="E510" s="64"/>
      <c r="F510" s="65">
        <f>WORKDAY(G505,1)</f>
        <v>46300</v>
      </c>
      <c r="G510" s="66">
        <f>WORKDAY(F510,H510-1,)</f>
        <v>46311</v>
      </c>
      <c r="H510" s="64">
        <v>10</v>
      </c>
      <c r="I510" s="64">
        <v>6</v>
      </c>
    </row>
    <row r="511" spans="1:9">
      <c r="A511" s="107" t="s">
        <v>123</v>
      </c>
      <c r="B511" s="107" t="s">
        <v>117</v>
      </c>
      <c r="C511" s="108"/>
      <c r="D511" s="64" t="s">
        <v>77</v>
      </c>
      <c r="E511" s="64"/>
      <c r="F511" s="65">
        <f>WORKDAY(G505,1)</f>
        <v>46300</v>
      </c>
      <c r="G511" s="66">
        <f t="shared" ref="G511:G533" si="67">WORKDAY(F511,H511-1,)</f>
        <v>46311</v>
      </c>
      <c r="H511" s="64">
        <v>10</v>
      </c>
      <c r="I511" s="64">
        <v>1</v>
      </c>
    </row>
    <row r="512" spans="1:9">
      <c r="A512" s="107" t="s">
        <v>123</v>
      </c>
      <c r="B512" s="107" t="s">
        <v>117</v>
      </c>
      <c r="C512" s="108"/>
      <c r="D512" s="64" t="s">
        <v>80</v>
      </c>
      <c r="E512" s="64"/>
      <c r="F512" s="65">
        <f>WORKDAY(G505,1)</f>
        <v>46300</v>
      </c>
      <c r="G512" s="66">
        <f t="shared" si="67"/>
        <v>46311</v>
      </c>
      <c r="H512" s="64">
        <v>10</v>
      </c>
      <c r="I512" s="64">
        <v>0</v>
      </c>
    </row>
    <row r="513" spans="1:9">
      <c r="A513" s="107" t="s">
        <v>123</v>
      </c>
      <c r="B513" s="107" t="s">
        <v>117</v>
      </c>
      <c r="C513" s="108"/>
      <c r="D513" s="64" t="s">
        <v>81</v>
      </c>
      <c r="E513" s="64"/>
      <c r="F513" s="65">
        <f>WORKDAY(G505,1)</f>
        <v>46300</v>
      </c>
      <c r="G513" s="66">
        <f t="shared" si="67"/>
        <v>46311</v>
      </c>
      <c r="H513" s="64">
        <v>10</v>
      </c>
      <c r="I513" s="64">
        <v>4</v>
      </c>
    </row>
    <row r="514" spans="1:9">
      <c r="A514" s="70" t="s">
        <v>123</v>
      </c>
      <c r="B514" s="70" t="s">
        <v>117</v>
      </c>
      <c r="C514" s="69"/>
      <c r="D514" s="70" t="s">
        <v>82</v>
      </c>
      <c r="E514" s="70"/>
      <c r="F514" s="71">
        <f t="shared" ref="F514" si="68">WORKDAY(G513,1)</f>
        <v>46314</v>
      </c>
      <c r="G514" s="71">
        <f t="shared" si="67"/>
        <v>46325</v>
      </c>
      <c r="H514" s="70">
        <v>10</v>
      </c>
      <c r="I514" s="70">
        <v>4</v>
      </c>
    </row>
    <row r="515" spans="1:9">
      <c r="A515" s="77" t="s">
        <v>123</v>
      </c>
      <c r="B515" s="77" t="s">
        <v>117</v>
      </c>
      <c r="C515" s="98"/>
      <c r="D515" s="75" t="s">
        <v>85</v>
      </c>
      <c r="E515" s="75"/>
      <c r="F515" s="76">
        <f>WORKDAY(G514,-1)</f>
        <v>46324</v>
      </c>
      <c r="G515" s="44">
        <f t="shared" si="67"/>
        <v>46328</v>
      </c>
      <c r="H515" s="75">
        <v>3</v>
      </c>
      <c r="I515" s="75">
        <v>12</v>
      </c>
    </row>
    <row r="516" spans="1:9">
      <c r="A516" s="77" t="s">
        <v>123</v>
      </c>
      <c r="B516" s="77" t="s">
        <v>117</v>
      </c>
      <c r="C516" s="98"/>
      <c r="D516" s="75" t="s">
        <v>86</v>
      </c>
      <c r="E516" s="75"/>
      <c r="F516" s="76">
        <f>WORKDAY(G514,1)</f>
        <v>46328</v>
      </c>
      <c r="G516" s="44">
        <f t="shared" si="67"/>
        <v>46339</v>
      </c>
      <c r="H516" s="75">
        <v>10</v>
      </c>
      <c r="I516" s="75">
        <v>0</v>
      </c>
    </row>
    <row r="517" spans="1:9">
      <c r="A517" s="122" t="s">
        <v>123</v>
      </c>
      <c r="B517" s="78" t="s">
        <v>117</v>
      </c>
      <c r="C517" s="109"/>
      <c r="D517" s="79" t="s">
        <v>87</v>
      </c>
      <c r="E517" s="79"/>
      <c r="F517" s="81">
        <f>WORKDAY(F515,4)</f>
        <v>46330</v>
      </c>
      <c r="G517" s="82">
        <f t="shared" si="67"/>
        <v>46343</v>
      </c>
      <c r="H517" s="79">
        <v>10</v>
      </c>
      <c r="I517" s="79">
        <v>4</v>
      </c>
    </row>
    <row r="518" spans="1:9">
      <c r="A518" s="83" t="s">
        <v>123</v>
      </c>
      <c r="B518" s="83" t="s">
        <v>117</v>
      </c>
      <c r="C518" s="84"/>
      <c r="D518" s="83" t="s">
        <v>89</v>
      </c>
      <c r="E518" s="83"/>
      <c r="F518" s="85">
        <f>WORKDAY(F517,3)</f>
        <v>46335</v>
      </c>
      <c r="G518" s="85">
        <f t="shared" si="67"/>
        <v>46346</v>
      </c>
      <c r="H518" s="83">
        <v>10</v>
      </c>
      <c r="I518" s="127">
        <v>1</v>
      </c>
    </row>
    <row r="519" spans="1:9">
      <c r="A519" s="83" t="s">
        <v>123</v>
      </c>
      <c r="B519" s="83" t="s">
        <v>117</v>
      </c>
      <c r="C519" s="84"/>
      <c r="D519" s="83" t="s">
        <v>91</v>
      </c>
      <c r="E519" s="83"/>
      <c r="F519" s="85">
        <f>WORKDAY(F517,3)</f>
        <v>46335</v>
      </c>
      <c r="G519" s="85">
        <f t="shared" si="67"/>
        <v>46346</v>
      </c>
      <c r="H519" s="83">
        <v>10</v>
      </c>
      <c r="I519" s="127"/>
    </row>
    <row r="520" spans="1:9">
      <c r="A520" s="83" t="s">
        <v>123</v>
      </c>
      <c r="B520" s="83" t="s">
        <v>117</v>
      </c>
      <c r="C520" s="84"/>
      <c r="D520" s="83" t="s">
        <v>92</v>
      </c>
      <c r="E520" s="83"/>
      <c r="F520" s="85">
        <f>WORKDAY(F517,3)</f>
        <v>46335</v>
      </c>
      <c r="G520" s="85">
        <f t="shared" si="67"/>
        <v>46346</v>
      </c>
      <c r="H520" s="83">
        <v>10</v>
      </c>
      <c r="I520" s="127"/>
    </row>
    <row r="521" spans="1:9">
      <c r="A521" s="83" t="s">
        <v>123</v>
      </c>
      <c r="B521" s="83" t="s">
        <v>117</v>
      </c>
      <c r="C521" s="84"/>
      <c r="D521" s="83" t="s">
        <v>93</v>
      </c>
      <c r="E521" s="83"/>
      <c r="F521" s="85">
        <f>WORKDAY(F517,3)</f>
        <v>46335</v>
      </c>
      <c r="G521" s="85">
        <f t="shared" si="67"/>
        <v>46346</v>
      </c>
      <c r="H521" s="83">
        <v>10</v>
      </c>
      <c r="I521" s="127"/>
    </row>
    <row r="522" spans="1:9">
      <c r="A522" s="83" t="s">
        <v>123</v>
      </c>
      <c r="B522" s="83" t="s">
        <v>117</v>
      </c>
      <c r="C522" s="84"/>
      <c r="D522" s="83" t="s">
        <v>94</v>
      </c>
      <c r="E522" s="83"/>
      <c r="F522" s="85">
        <f>WORKDAY(F517,3)</f>
        <v>46335</v>
      </c>
      <c r="G522" s="85">
        <f t="shared" si="67"/>
        <v>46346</v>
      </c>
      <c r="H522" s="83">
        <v>10</v>
      </c>
      <c r="I522" s="83">
        <v>1</v>
      </c>
    </row>
    <row r="523" spans="1:9">
      <c r="A523" s="86" t="s">
        <v>123</v>
      </c>
      <c r="B523" s="86" t="s">
        <v>117</v>
      </c>
      <c r="C523" s="87"/>
      <c r="D523" s="86" t="s">
        <v>95</v>
      </c>
      <c r="E523" s="86"/>
      <c r="F523" s="88">
        <f>WORKDAY(F522,3)</f>
        <v>46338</v>
      </c>
      <c r="G523" s="88">
        <f t="shared" si="67"/>
        <v>46346</v>
      </c>
      <c r="H523" s="86">
        <v>7</v>
      </c>
      <c r="I523" s="86">
        <v>0</v>
      </c>
    </row>
    <row r="524" spans="1:9">
      <c r="A524" s="89" t="s">
        <v>123</v>
      </c>
      <c r="B524" s="89" t="s">
        <v>117</v>
      </c>
      <c r="C524" s="90"/>
      <c r="D524" s="89" t="s">
        <v>96</v>
      </c>
      <c r="E524" s="89"/>
      <c r="F524" s="91">
        <f>WORKDAY(F523,2)</f>
        <v>46342</v>
      </c>
      <c r="G524" s="91">
        <f t="shared" si="67"/>
        <v>46353</v>
      </c>
      <c r="H524" s="89">
        <v>10</v>
      </c>
      <c r="I524" s="89">
        <v>2</v>
      </c>
    </row>
    <row r="525" spans="1:9">
      <c r="A525" s="89" t="s">
        <v>123</v>
      </c>
      <c r="B525" s="89" t="s">
        <v>117</v>
      </c>
      <c r="C525" s="90"/>
      <c r="D525" s="89" t="s">
        <v>98</v>
      </c>
      <c r="E525" s="89"/>
      <c r="F525" s="91">
        <f>WORKDAY(F523,2)</f>
        <v>46342</v>
      </c>
      <c r="G525" s="91">
        <f t="shared" si="67"/>
        <v>46353</v>
      </c>
      <c r="H525" s="89">
        <v>10</v>
      </c>
      <c r="I525" s="89">
        <v>9</v>
      </c>
    </row>
    <row r="526" spans="1:9">
      <c r="A526" s="89" t="s">
        <v>123</v>
      </c>
      <c r="B526" s="89" t="s">
        <v>117</v>
      </c>
      <c r="C526" s="90"/>
      <c r="D526" s="89" t="s">
        <v>101</v>
      </c>
      <c r="E526" s="89"/>
      <c r="F526" s="91">
        <f>WORKDAY(F523,2)</f>
        <v>46342</v>
      </c>
      <c r="G526" s="91">
        <f t="shared" si="67"/>
        <v>46353</v>
      </c>
      <c r="H526" s="89">
        <v>10</v>
      </c>
      <c r="I526" s="89">
        <v>0</v>
      </c>
    </row>
    <row r="527" spans="1:9">
      <c r="A527" s="38" t="s">
        <v>123</v>
      </c>
      <c r="B527" s="38" t="s">
        <v>117</v>
      </c>
      <c r="C527" s="92"/>
      <c r="D527" s="38" t="s">
        <v>103</v>
      </c>
      <c r="E527" s="38"/>
      <c r="F527" s="93">
        <f>WORKDAY(G525,-4)</f>
        <v>46349</v>
      </c>
      <c r="G527" s="93">
        <f t="shared" si="67"/>
        <v>46351</v>
      </c>
      <c r="H527" s="38">
        <v>3</v>
      </c>
      <c r="I527" s="38">
        <v>0</v>
      </c>
    </row>
    <row r="528" spans="1:9">
      <c r="A528" s="38" t="s">
        <v>123</v>
      </c>
      <c r="B528" s="38" t="s">
        <v>117</v>
      </c>
      <c r="C528" s="92"/>
      <c r="D528" s="38" t="s">
        <v>106</v>
      </c>
      <c r="E528" s="38"/>
      <c r="F528" s="93">
        <f>WORKDAY(G525,-4)</f>
        <v>46349</v>
      </c>
      <c r="G528" s="93">
        <f t="shared" si="67"/>
        <v>46360</v>
      </c>
      <c r="H528" s="38">
        <v>10</v>
      </c>
      <c r="I528" s="38">
        <v>10</v>
      </c>
    </row>
    <row r="529" spans="1:9">
      <c r="A529" s="38" t="s">
        <v>123</v>
      </c>
      <c r="B529" s="38" t="s">
        <v>117</v>
      </c>
      <c r="C529" s="92"/>
      <c r="D529" s="38" t="s">
        <v>108</v>
      </c>
      <c r="E529" s="38"/>
      <c r="F529" s="93">
        <f>WORKDAY(G525,-4)</f>
        <v>46349</v>
      </c>
      <c r="G529" s="93">
        <f t="shared" si="67"/>
        <v>46360</v>
      </c>
      <c r="H529" s="38">
        <v>10</v>
      </c>
      <c r="I529" s="38">
        <v>6</v>
      </c>
    </row>
    <row r="530" spans="1:9">
      <c r="A530" s="94" t="s">
        <v>123</v>
      </c>
      <c r="B530" s="94" t="s">
        <v>117</v>
      </c>
      <c r="C530" s="95"/>
      <c r="D530" s="96" t="s">
        <v>109</v>
      </c>
      <c r="E530" s="96"/>
      <c r="F530" s="97">
        <f>WORKDAY(G525,1)</f>
        <v>46356</v>
      </c>
      <c r="G530" s="97">
        <f t="shared" si="67"/>
        <v>46367</v>
      </c>
      <c r="H530" s="94">
        <v>10</v>
      </c>
      <c r="I530" s="94">
        <v>0</v>
      </c>
    </row>
    <row r="531" spans="1:9">
      <c r="A531" s="94" t="s">
        <v>123</v>
      </c>
      <c r="B531" s="94" t="s">
        <v>117</v>
      </c>
      <c r="C531" s="95"/>
      <c r="D531" s="96" t="s">
        <v>112</v>
      </c>
      <c r="E531" s="96"/>
      <c r="F531" s="97">
        <f>WORKDAY(G525,1)</f>
        <v>46356</v>
      </c>
      <c r="G531" s="97">
        <f t="shared" si="67"/>
        <v>46367</v>
      </c>
      <c r="H531" s="94">
        <v>10</v>
      </c>
      <c r="I531" s="94">
        <v>0</v>
      </c>
    </row>
    <row r="532" spans="1:9">
      <c r="A532" s="77" t="s">
        <v>123</v>
      </c>
      <c r="B532" s="77" t="s">
        <v>117</v>
      </c>
      <c r="C532" s="98"/>
      <c r="D532" s="77" t="s">
        <v>113</v>
      </c>
      <c r="E532" s="77"/>
      <c r="F532" s="44">
        <f>WORKDAY(G530,-4)</f>
        <v>46363</v>
      </c>
      <c r="G532" s="44">
        <f t="shared" si="67"/>
        <v>46367</v>
      </c>
      <c r="H532" s="77">
        <v>5</v>
      </c>
      <c r="I532" s="77">
        <v>1</v>
      </c>
    </row>
    <row r="533" spans="1:9">
      <c r="A533" s="77" t="s">
        <v>123</v>
      </c>
      <c r="B533" s="77" t="s">
        <v>117</v>
      </c>
      <c r="C533" s="98"/>
      <c r="D533" s="77" t="s">
        <v>116</v>
      </c>
      <c r="E533" s="77"/>
      <c r="F533" s="44">
        <f>WORKDAY(G530,-4)</f>
        <v>46363</v>
      </c>
      <c r="G533" s="44">
        <f t="shared" si="67"/>
        <v>46367</v>
      </c>
      <c r="H533" s="77">
        <v>5</v>
      </c>
      <c r="I533" s="77">
        <v>0</v>
      </c>
    </row>
    <row r="534" spans="1:9">
      <c r="A534" s="5" t="s">
        <v>123</v>
      </c>
      <c r="B534" s="99" t="s">
        <v>118</v>
      </c>
      <c r="C534" s="100"/>
      <c r="D534" s="6" t="s">
        <v>11</v>
      </c>
      <c r="E534" s="6"/>
      <c r="F534" s="8">
        <f>WORKDAY(G483,1)</f>
        <v>46209</v>
      </c>
      <c r="G534" s="8">
        <f>WORKDAY(F534,H534-1,)</f>
        <v>46220</v>
      </c>
      <c r="H534" s="6">
        <v>10</v>
      </c>
      <c r="I534" s="6">
        <v>36</v>
      </c>
    </row>
    <row r="535" spans="1:9">
      <c r="A535" s="5" t="s">
        <v>123</v>
      </c>
      <c r="B535" s="99" t="s">
        <v>118</v>
      </c>
      <c r="C535" s="100"/>
      <c r="D535" s="6" t="s">
        <v>13</v>
      </c>
      <c r="E535" s="6"/>
      <c r="F535" s="8">
        <f>WORKDAY(G483,1)</f>
        <v>46209</v>
      </c>
      <c r="G535" s="8">
        <f t="shared" ref="G535" si="69">WORKDAY(F535,H535-1,)</f>
        <v>46220</v>
      </c>
      <c r="H535" s="6">
        <v>10</v>
      </c>
      <c r="I535" s="6">
        <v>1</v>
      </c>
    </row>
    <row r="536" spans="1:9">
      <c r="A536" s="5" t="s">
        <v>123</v>
      </c>
      <c r="B536" s="99" t="s">
        <v>118</v>
      </c>
      <c r="C536" s="100"/>
      <c r="D536" s="6" t="s">
        <v>15</v>
      </c>
      <c r="E536" s="6"/>
      <c r="F536" s="8">
        <f>WORKDAY(G483,1)</f>
        <v>46209</v>
      </c>
      <c r="G536" s="8">
        <f>WORKDAY(F536,H536-1,)</f>
        <v>46220</v>
      </c>
      <c r="H536" s="6">
        <v>10</v>
      </c>
      <c r="I536" s="6">
        <v>1</v>
      </c>
    </row>
    <row r="537" spans="1:9">
      <c r="A537" s="11" t="s">
        <v>123</v>
      </c>
      <c r="B537" s="101" t="s">
        <v>118</v>
      </c>
      <c r="C537" s="102"/>
      <c r="D537" s="11" t="s">
        <v>16</v>
      </c>
      <c r="E537" s="11"/>
      <c r="F537" s="12">
        <f>WORKDAY(G536,-4)</f>
        <v>46216</v>
      </c>
      <c r="G537" s="12">
        <f t="shared" ref="G537:G544" si="70">WORKDAY(F537,H537-1,)</f>
        <v>46227</v>
      </c>
      <c r="H537" s="11">
        <v>10</v>
      </c>
      <c r="I537" s="11">
        <v>5</v>
      </c>
    </row>
    <row r="538" spans="1:9">
      <c r="A538" s="11" t="s">
        <v>123</v>
      </c>
      <c r="B538" s="101" t="s">
        <v>118</v>
      </c>
      <c r="C538" s="102"/>
      <c r="D538" s="11" t="s">
        <v>18</v>
      </c>
      <c r="E538" s="11"/>
      <c r="F538" s="12">
        <f>WORKDAY(G536,-4)</f>
        <v>46216</v>
      </c>
      <c r="G538" s="12">
        <f t="shared" si="70"/>
        <v>46227</v>
      </c>
      <c r="H538" s="11">
        <v>10</v>
      </c>
      <c r="I538" s="13">
        <v>4</v>
      </c>
    </row>
    <row r="539" spans="1:9">
      <c r="A539" s="11" t="s">
        <v>123</v>
      </c>
      <c r="B539" s="101" t="s">
        <v>118</v>
      </c>
      <c r="C539" s="102"/>
      <c r="D539" s="11" t="s">
        <v>21</v>
      </c>
      <c r="E539" s="11"/>
      <c r="F539" s="12">
        <f>WORKDAY(G536,-4)</f>
        <v>46216</v>
      </c>
      <c r="G539" s="12">
        <f t="shared" si="70"/>
        <v>46227</v>
      </c>
      <c r="H539" s="11">
        <v>10</v>
      </c>
      <c r="I539" s="11">
        <v>3</v>
      </c>
    </row>
    <row r="540" spans="1:9">
      <c r="A540" s="11" t="s">
        <v>123</v>
      </c>
      <c r="B540" s="101" t="s">
        <v>118</v>
      </c>
      <c r="C540" s="102"/>
      <c r="D540" s="11" t="s">
        <v>24</v>
      </c>
      <c r="E540" s="11"/>
      <c r="F540" s="12">
        <f>WORKDAY(G536,-4)</f>
        <v>46216</v>
      </c>
      <c r="G540" s="12">
        <f t="shared" si="70"/>
        <v>46227</v>
      </c>
      <c r="H540" s="11">
        <v>10</v>
      </c>
      <c r="I540" s="11">
        <v>0</v>
      </c>
    </row>
    <row r="541" spans="1:9">
      <c r="A541" s="17" t="s">
        <v>123</v>
      </c>
      <c r="B541" s="103" t="s">
        <v>118</v>
      </c>
      <c r="C541" s="104"/>
      <c r="D541" s="17" t="s">
        <v>26</v>
      </c>
      <c r="E541" s="17"/>
      <c r="F541" s="18">
        <f>WORKDAY(G540,-4)</f>
        <v>46223</v>
      </c>
      <c r="G541" s="18">
        <f t="shared" si="70"/>
        <v>46234</v>
      </c>
      <c r="H541" s="17">
        <v>10</v>
      </c>
      <c r="I541" s="17">
        <v>2</v>
      </c>
    </row>
    <row r="542" spans="1:9">
      <c r="A542" s="21" t="s">
        <v>123</v>
      </c>
      <c r="B542" s="21" t="s">
        <v>118</v>
      </c>
      <c r="C542" s="20"/>
      <c r="D542" s="21" t="s">
        <v>29</v>
      </c>
      <c r="E542" s="21"/>
      <c r="F542" s="22">
        <f>WORKDAY(F541,5)</f>
        <v>46230</v>
      </c>
      <c r="G542" s="22">
        <f t="shared" si="70"/>
        <v>46234</v>
      </c>
      <c r="H542" s="21">
        <v>5</v>
      </c>
      <c r="I542" s="21">
        <v>4</v>
      </c>
    </row>
    <row r="543" spans="1:9">
      <c r="A543" s="21" t="s">
        <v>123</v>
      </c>
      <c r="B543" s="21" t="s">
        <v>118</v>
      </c>
      <c r="C543" s="20"/>
      <c r="D543" s="21" t="s">
        <v>32</v>
      </c>
      <c r="E543" s="21"/>
      <c r="F543" s="22">
        <f>WORKDAY(G541,1)</f>
        <v>46237</v>
      </c>
      <c r="G543" s="22">
        <f t="shared" si="70"/>
        <v>46241</v>
      </c>
      <c r="H543" s="21">
        <v>5</v>
      </c>
      <c r="I543" s="21">
        <v>1</v>
      </c>
    </row>
    <row r="544" spans="1:9">
      <c r="A544" s="21" t="s">
        <v>123</v>
      </c>
      <c r="B544" s="21" t="s">
        <v>118</v>
      </c>
      <c r="C544" s="20"/>
      <c r="D544" s="21" t="s">
        <v>34</v>
      </c>
      <c r="E544" s="21"/>
      <c r="F544" s="22">
        <f>WORKDAY(G538,1)</f>
        <v>46230</v>
      </c>
      <c r="G544" s="22">
        <f t="shared" si="70"/>
        <v>46241</v>
      </c>
      <c r="H544" s="21">
        <v>10</v>
      </c>
      <c r="I544" s="21">
        <v>3</v>
      </c>
    </row>
    <row r="545" spans="1:9">
      <c r="A545" s="31" t="s">
        <v>123</v>
      </c>
      <c r="B545" s="31" t="s">
        <v>118</v>
      </c>
      <c r="C545" s="30"/>
      <c r="D545" s="31" t="s">
        <v>37</v>
      </c>
      <c r="E545" s="31"/>
      <c r="F545" s="32">
        <f>WORKDAY(G544,1)</f>
        <v>46244</v>
      </c>
      <c r="G545" s="32">
        <f>WORKDAY(F545,H545-1,)</f>
        <v>46255</v>
      </c>
      <c r="H545" s="31">
        <v>10</v>
      </c>
      <c r="I545" s="128">
        <v>5</v>
      </c>
    </row>
    <row r="546" spans="1:9">
      <c r="A546" s="31" t="s">
        <v>123</v>
      </c>
      <c r="B546" s="31" t="s">
        <v>118</v>
      </c>
      <c r="C546" s="30"/>
      <c r="D546" s="31" t="s">
        <v>40</v>
      </c>
      <c r="E546" s="31"/>
      <c r="F546" s="32">
        <f>WORKDAY(G544,1)</f>
        <v>46244</v>
      </c>
      <c r="G546" s="32">
        <f t="shared" ref="G546:G558" si="71">WORKDAY(F546,H546-1,)</f>
        <v>46255</v>
      </c>
      <c r="H546" s="31">
        <v>10</v>
      </c>
      <c r="I546" s="128"/>
    </row>
    <row r="547" spans="1:9">
      <c r="A547" s="31" t="s">
        <v>123</v>
      </c>
      <c r="B547" s="31" t="s">
        <v>118</v>
      </c>
      <c r="C547" s="30"/>
      <c r="D547" s="31" t="s">
        <v>42</v>
      </c>
      <c r="E547" s="31"/>
      <c r="F547" s="32">
        <f>WORKDAY(G544,1)</f>
        <v>46244</v>
      </c>
      <c r="G547" s="32">
        <f t="shared" si="71"/>
        <v>46255</v>
      </c>
      <c r="H547" s="31">
        <v>10</v>
      </c>
      <c r="I547" s="128"/>
    </row>
    <row r="548" spans="1:9">
      <c r="A548" s="31" t="s">
        <v>123</v>
      </c>
      <c r="B548" s="31" t="s">
        <v>118</v>
      </c>
      <c r="C548" s="30"/>
      <c r="D548" s="31" t="s">
        <v>44</v>
      </c>
      <c r="E548" s="31"/>
      <c r="F548" s="32">
        <f>WORKDAY(G544,1)</f>
        <v>46244</v>
      </c>
      <c r="G548" s="32">
        <f t="shared" si="71"/>
        <v>46255</v>
      </c>
      <c r="H548" s="31">
        <v>10</v>
      </c>
      <c r="I548" s="128"/>
    </row>
    <row r="549" spans="1:9">
      <c r="A549" s="31" t="s">
        <v>123</v>
      </c>
      <c r="B549" s="31" t="s">
        <v>118</v>
      </c>
      <c r="C549" s="30"/>
      <c r="D549" s="31" t="s">
        <v>45</v>
      </c>
      <c r="E549" s="31"/>
      <c r="F549" s="32">
        <f>WORKDAY(G544,1)</f>
        <v>46244</v>
      </c>
      <c r="G549" s="32">
        <f t="shared" si="71"/>
        <v>46255</v>
      </c>
      <c r="H549" s="31">
        <v>10</v>
      </c>
      <c r="I549" s="31">
        <v>5</v>
      </c>
    </row>
    <row r="550" spans="1:9">
      <c r="A550" s="25" t="s">
        <v>123</v>
      </c>
      <c r="B550" s="25" t="s">
        <v>118</v>
      </c>
      <c r="C550" s="105"/>
      <c r="D550" s="26" t="s">
        <v>47</v>
      </c>
      <c r="E550" s="26"/>
      <c r="F550" s="27">
        <f>WORKDAY(G549,-4)</f>
        <v>46251</v>
      </c>
      <c r="G550" s="28">
        <f t="shared" si="71"/>
        <v>46262</v>
      </c>
      <c r="H550" s="26">
        <v>10</v>
      </c>
      <c r="I550" s="26">
        <v>11</v>
      </c>
    </row>
    <row r="551" spans="1:9">
      <c r="A551" s="77" t="s">
        <v>123</v>
      </c>
      <c r="B551" s="77" t="s">
        <v>118</v>
      </c>
      <c r="C551" s="98"/>
      <c r="D551" s="42" t="s">
        <v>50</v>
      </c>
      <c r="E551" s="42"/>
      <c r="F551" s="43">
        <f>WORKDAY(G549,1)</f>
        <v>46258</v>
      </c>
      <c r="G551" s="44">
        <f t="shared" si="71"/>
        <v>46258</v>
      </c>
      <c r="H551" s="42">
        <v>1</v>
      </c>
      <c r="I551" s="42">
        <v>0</v>
      </c>
    </row>
    <row r="552" spans="1:9">
      <c r="A552" s="21" t="s">
        <v>123</v>
      </c>
      <c r="B552" s="21" t="s">
        <v>118</v>
      </c>
      <c r="C552" s="20"/>
      <c r="D552" s="47" t="s">
        <v>52</v>
      </c>
      <c r="E552" s="47"/>
      <c r="F552" s="48">
        <f>WORKDAY(G550,1)</f>
        <v>46265</v>
      </c>
      <c r="G552" s="22">
        <f t="shared" si="71"/>
        <v>46276</v>
      </c>
      <c r="H552" s="47">
        <v>10</v>
      </c>
      <c r="I552" s="47">
        <v>5</v>
      </c>
    </row>
    <row r="553" spans="1:9">
      <c r="A553" s="21" t="s">
        <v>123</v>
      </c>
      <c r="B553" s="21" t="s">
        <v>118</v>
      </c>
      <c r="C553" s="20"/>
      <c r="D553" s="49" t="s">
        <v>55</v>
      </c>
      <c r="E553" s="49"/>
      <c r="F553" s="48">
        <f>WORKDAY(G550,1)</f>
        <v>46265</v>
      </c>
      <c r="G553" s="22">
        <f t="shared" si="71"/>
        <v>46276</v>
      </c>
      <c r="H553" s="47">
        <v>10</v>
      </c>
      <c r="I553" s="47">
        <v>0</v>
      </c>
    </row>
    <row r="554" spans="1:9">
      <c r="A554" s="52" t="s">
        <v>123</v>
      </c>
      <c r="B554" s="110" t="s">
        <v>118</v>
      </c>
      <c r="C554" s="111"/>
      <c r="D554" s="52" t="s">
        <v>56</v>
      </c>
      <c r="E554" s="52"/>
      <c r="F554" s="53">
        <f t="shared" ref="F554" si="72">WORKDAY(G553,1)</f>
        <v>46279</v>
      </c>
      <c r="G554" s="53">
        <f t="shared" si="71"/>
        <v>46290</v>
      </c>
      <c r="H554" s="52">
        <v>10</v>
      </c>
      <c r="I554" s="52">
        <v>7</v>
      </c>
    </row>
    <row r="555" spans="1:9">
      <c r="A555" s="52" t="s">
        <v>123</v>
      </c>
      <c r="B555" s="110" t="s">
        <v>118</v>
      </c>
      <c r="C555" s="111"/>
      <c r="D555" s="52" t="s">
        <v>59</v>
      </c>
      <c r="E555" s="52"/>
      <c r="F555" s="53">
        <f>WORKDAY(G553,1)</f>
        <v>46279</v>
      </c>
      <c r="G555" s="53">
        <f t="shared" si="71"/>
        <v>46279</v>
      </c>
      <c r="H555" s="52">
        <v>1</v>
      </c>
      <c r="I555" s="52">
        <v>5</v>
      </c>
    </row>
    <row r="556" spans="1:9">
      <c r="A556" s="56" t="s">
        <v>123</v>
      </c>
      <c r="B556" s="112" t="s">
        <v>118</v>
      </c>
      <c r="C556" s="113"/>
      <c r="D556" s="56" t="s">
        <v>62</v>
      </c>
      <c r="E556" s="56"/>
      <c r="F556" s="57">
        <f>WORKDAY(G554,-4)</f>
        <v>46286</v>
      </c>
      <c r="G556" s="57">
        <f t="shared" si="71"/>
        <v>46297</v>
      </c>
      <c r="H556" s="56">
        <v>10</v>
      </c>
      <c r="I556" s="56">
        <v>10</v>
      </c>
    </row>
    <row r="557" spans="1:9">
      <c r="A557" s="56" t="s">
        <v>123</v>
      </c>
      <c r="B557" s="112" t="s">
        <v>118</v>
      </c>
      <c r="C557" s="113"/>
      <c r="D557" s="56" t="s">
        <v>64</v>
      </c>
      <c r="E557" s="56"/>
      <c r="F557" s="57">
        <f>WORKDAY(F556,1)</f>
        <v>46287</v>
      </c>
      <c r="G557" s="57">
        <f t="shared" si="71"/>
        <v>46297</v>
      </c>
      <c r="H557" s="56">
        <v>9</v>
      </c>
      <c r="I557" s="56">
        <v>0</v>
      </c>
    </row>
    <row r="558" spans="1:9">
      <c r="A558" s="31" t="s">
        <v>123</v>
      </c>
      <c r="B558" s="31" t="s">
        <v>118</v>
      </c>
      <c r="C558" s="30"/>
      <c r="D558" s="58" t="s">
        <v>65</v>
      </c>
      <c r="E558" s="58"/>
      <c r="F558" s="59">
        <f>WORKDAY(G556,1)</f>
        <v>46300</v>
      </c>
      <c r="G558" s="32">
        <f t="shared" si="71"/>
        <v>46311</v>
      </c>
      <c r="H558" s="58">
        <v>10</v>
      </c>
      <c r="I558" s="58">
        <v>4</v>
      </c>
    </row>
    <row r="559" spans="1:9">
      <c r="A559" s="106" t="s">
        <v>123</v>
      </c>
      <c r="B559" s="107" t="s">
        <v>118</v>
      </c>
      <c r="C559" s="108"/>
      <c r="D559" s="64" t="s">
        <v>68</v>
      </c>
      <c r="E559" s="64"/>
      <c r="F559" s="65">
        <f>WORKDAY(G558,1)</f>
        <v>46314</v>
      </c>
      <c r="G559" s="65">
        <f>WORKDAY(F559,H559-1,)</f>
        <v>46325</v>
      </c>
      <c r="H559" s="64">
        <v>10</v>
      </c>
      <c r="I559" s="130">
        <v>4</v>
      </c>
    </row>
    <row r="560" spans="1:9">
      <c r="A560" s="106" t="s">
        <v>123</v>
      </c>
      <c r="B560" s="107" t="s">
        <v>118</v>
      </c>
      <c r="C560" s="108"/>
      <c r="D560" s="64" t="s">
        <v>71</v>
      </c>
      <c r="E560" s="64"/>
      <c r="F560" s="65">
        <f>WORKDAY(G558,1)</f>
        <v>46314</v>
      </c>
      <c r="G560" s="65">
        <f t="shared" ref="G560:G562" si="73">WORKDAY(F559,H559-1,)</f>
        <v>46325</v>
      </c>
      <c r="H560" s="64">
        <v>10</v>
      </c>
      <c r="I560" s="130"/>
    </row>
    <row r="561" spans="1:9">
      <c r="A561" s="106" t="s">
        <v>123</v>
      </c>
      <c r="B561" s="107" t="s">
        <v>118</v>
      </c>
      <c r="C561" s="108"/>
      <c r="D561" s="64" t="s">
        <v>72</v>
      </c>
      <c r="E561" s="64"/>
      <c r="F561" s="65">
        <f>WORKDAY(G558,1)</f>
        <v>46314</v>
      </c>
      <c r="G561" s="65">
        <f t="shared" si="73"/>
        <v>46325</v>
      </c>
      <c r="H561" s="64">
        <v>10</v>
      </c>
      <c r="I561" s="130"/>
    </row>
    <row r="562" spans="1:9">
      <c r="A562" s="106" t="s">
        <v>123</v>
      </c>
      <c r="B562" s="107" t="s">
        <v>118</v>
      </c>
      <c r="C562" s="108"/>
      <c r="D562" s="64" t="s">
        <v>73</v>
      </c>
      <c r="E562" s="64"/>
      <c r="F562" s="65">
        <f>WORKDAY(G558,1)</f>
        <v>46314</v>
      </c>
      <c r="G562" s="65">
        <f t="shared" si="73"/>
        <v>46325</v>
      </c>
      <c r="H562" s="64">
        <v>10</v>
      </c>
      <c r="I562" s="130"/>
    </row>
    <row r="563" spans="1:9">
      <c r="A563" s="107" t="s">
        <v>123</v>
      </c>
      <c r="B563" s="107" t="s">
        <v>118</v>
      </c>
      <c r="C563" s="108"/>
      <c r="D563" s="64" t="s">
        <v>74</v>
      </c>
      <c r="E563" s="64"/>
      <c r="F563" s="65">
        <f>WORKDAY(G558,1)</f>
        <v>46314</v>
      </c>
      <c r="G563" s="66">
        <f>WORKDAY(F563,H563-1,)</f>
        <v>46325</v>
      </c>
      <c r="H563" s="64">
        <v>10</v>
      </c>
      <c r="I563" s="64">
        <v>6</v>
      </c>
    </row>
    <row r="564" spans="1:9">
      <c r="A564" s="107" t="s">
        <v>123</v>
      </c>
      <c r="B564" s="107" t="s">
        <v>118</v>
      </c>
      <c r="C564" s="108"/>
      <c r="D564" s="64" t="s">
        <v>77</v>
      </c>
      <c r="E564" s="64"/>
      <c r="F564" s="65">
        <f>WORKDAY(G558,1)</f>
        <v>46314</v>
      </c>
      <c r="G564" s="66">
        <f t="shared" ref="G564:G586" si="74">WORKDAY(F564,H564-1,)</f>
        <v>46325</v>
      </c>
      <c r="H564" s="64">
        <v>10</v>
      </c>
      <c r="I564" s="64">
        <v>1</v>
      </c>
    </row>
    <row r="565" spans="1:9">
      <c r="A565" s="107" t="s">
        <v>123</v>
      </c>
      <c r="B565" s="107" t="s">
        <v>118</v>
      </c>
      <c r="C565" s="108"/>
      <c r="D565" s="64" t="s">
        <v>80</v>
      </c>
      <c r="E565" s="64"/>
      <c r="F565" s="65">
        <f>WORKDAY(G558,1)</f>
        <v>46314</v>
      </c>
      <c r="G565" s="66">
        <f t="shared" si="74"/>
        <v>46325</v>
      </c>
      <c r="H565" s="64">
        <v>10</v>
      </c>
      <c r="I565" s="64">
        <v>0</v>
      </c>
    </row>
    <row r="566" spans="1:9">
      <c r="A566" s="107" t="s">
        <v>123</v>
      </c>
      <c r="B566" s="107" t="s">
        <v>118</v>
      </c>
      <c r="C566" s="108"/>
      <c r="D566" s="64" t="s">
        <v>81</v>
      </c>
      <c r="E566" s="64"/>
      <c r="F566" s="65">
        <f>WORKDAY(G558,1)</f>
        <v>46314</v>
      </c>
      <c r="G566" s="66">
        <f t="shared" si="74"/>
        <v>46325</v>
      </c>
      <c r="H566" s="64">
        <v>10</v>
      </c>
      <c r="I566" s="64">
        <v>4</v>
      </c>
    </row>
    <row r="567" spans="1:9">
      <c r="A567" s="70" t="s">
        <v>123</v>
      </c>
      <c r="B567" s="70" t="s">
        <v>118</v>
      </c>
      <c r="C567" s="69"/>
      <c r="D567" s="70" t="s">
        <v>82</v>
      </c>
      <c r="E567" s="70"/>
      <c r="F567" s="71">
        <f t="shared" ref="F567" si="75">WORKDAY(G566,1)</f>
        <v>46328</v>
      </c>
      <c r="G567" s="71">
        <f t="shared" si="74"/>
        <v>46339</v>
      </c>
      <c r="H567" s="70">
        <v>10</v>
      </c>
      <c r="I567" s="70">
        <v>4</v>
      </c>
    </row>
    <row r="568" spans="1:9">
      <c r="A568" s="77" t="s">
        <v>123</v>
      </c>
      <c r="B568" s="77" t="s">
        <v>118</v>
      </c>
      <c r="C568" s="98"/>
      <c r="D568" s="75" t="s">
        <v>85</v>
      </c>
      <c r="E568" s="75"/>
      <c r="F568" s="76">
        <f>WORKDAY(G567,-1)</f>
        <v>46338</v>
      </c>
      <c r="G568" s="44">
        <f t="shared" si="74"/>
        <v>46342</v>
      </c>
      <c r="H568" s="75">
        <v>3</v>
      </c>
      <c r="I568" s="75">
        <v>12</v>
      </c>
    </row>
    <row r="569" spans="1:9">
      <c r="A569" s="77" t="s">
        <v>123</v>
      </c>
      <c r="B569" s="77" t="s">
        <v>118</v>
      </c>
      <c r="C569" s="98"/>
      <c r="D569" s="75" t="s">
        <v>86</v>
      </c>
      <c r="E569" s="75"/>
      <c r="F569" s="76">
        <f>WORKDAY(G567,1)</f>
        <v>46342</v>
      </c>
      <c r="G569" s="44">
        <f t="shared" si="74"/>
        <v>46353</v>
      </c>
      <c r="H569" s="75">
        <v>10</v>
      </c>
      <c r="I569" s="75">
        <v>0</v>
      </c>
    </row>
    <row r="570" spans="1:9">
      <c r="A570" s="122" t="s">
        <v>123</v>
      </c>
      <c r="B570" s="78" t="s">
        <v>118</v>
      </c>
      <c r="C570" s="109"/>
      <c r="D570" s="79" t="s">
        <v>87</v>
      </c>
      <c r="E570" s="79"/>
      <c r="F570" s="81">
        <f>WORKDAY(F568,4)</f>
        <v>46344</v>
      </c>
      <c r="G570" s="82">
        <f t="shared" si="74"/>
        <v>46357</v>
      </c>
      <c r="H570" s="79">
        <v>10</v>
      </c>
      <c r="I570" s="79">
        <v>4</v>
      </c>
    </row>
    <row r="571" spans="1:9">
      <c r="A571" s="83" t="s">
        <v>123</v>
      </c>
      <c r="B571" s="114" t="s">
        <v>118</v>
      </c>
      <c r="C571" s="115"/>
      <c r="D571" s="83" t="s">
        <v>89</v>
      </c>
      <c r="E571" s="83"/>
      <c r="F571" s="85">
        <f>WORKDAY(F570,3)</f>
        <v>46349</v>
      </c>
      <c r="G571" s="85">
        <f t="shared" si="74"/>
        <v>46360</v>
      </c>
      <c r="H571" s="83">
        <v>10</v>
      </c>
      <c r="I571" s="127">
        <v>1</v>
      </c>
    </row>
    <row r="572" spans="1:9">
      <c r="A572" s="83" t="s">
        <v>123</v>
      </c>
      <c r="B572" s="114" t="s">
        <v>118</v>
      </c>
      <c r="C572" s="115"/>
      <c r="D572" s="83" t="s">
        <v>91</v>
      </c>
      <c r="E572" s="83"/>
      <c r="F572" s="85">
        <f>WORKDAY(F570,3)</f>
        <v>46349</v>
      </c>
      <c r="G572" s="85">
        <f t="shared" si="74"/>
        <v>46360</v>
      </c>
      <c r="H572" s="83">
        <v>10</v>
      </c>
      <c r="I572" s="127"/>
    </row>
    <row r="573" spans="1:9">
      <c r="A573" s="83" t="s">
        <v>123</v>
      </c>
      <c r="B573" s="114" t="s">
        <v>118</v>
      </c>
      <c r="C573" s="115"/>
      <c r="D573" s="83" t="s">
        <v>92</v>
      </c>
      <c r="E573" s="83"/>
      <c r="F573" s="85">
        <f>WORKDAY(F570,3)</f>
        <v>46349</v>
      </c>
      <c r="G573" s="85">
        <f t="shared" si="74"/>
        <v>46360</v>
      </c>
      <c r="H573" s="83">
        <v>10</v>
      </c>
      <c r="I573" s="127"/>
    </row>
    <row r="574" spans="1:9">
      <c r="A574" s="83" t="s">
        <v>123</v>
      </c>
      <c r="B574" s="114" t="s">
        <v>118</v>
      </c>
      <c r="C574" s="115"/>
      <c r="D574" s="83" t="s">
        <v>93</v>
      </c>
      <c r="E574" s="83"/>
      <c r="F574" s="85">
        <f>WORKDAY(F570,3)</f>
        <v>46349</v>
      </c>
      <c r="G574" s="85">
        <f t="shared" si="74"/>
        <v>46360</v>
      </c>
      <c r="H574" s="83">
        <v>10</v>
      </c>
      <c r="I574" s="127"/>
    </row>
    <row r="575" spans="1:9">
      <c r="A575" s="83" t="s">
        <v>123</v>
      </c>
      <c r="B575" s="114" t="s">
        <v>118</v>
      </c>
      <c r="C575" s="115"/>
      <c r="D575" s="83" t="s">
        <v>94</v>
      </c>
      <c r="E575" s="83"/>
      <c r="F575" s="85">
        <f>WORKDAY(F570,3)</f>
        <v>46349</v>
      </c>
      <c r="G575" s="85">
        <f t="shared" si="74"/>
        <v>46360</v>
      </c>
      <c r="H575" s="83">
        <v>10</v>
      </c>
      <c r="I575" s="83">
        <v>1</v>
      </c>
    </row>
    <row r="576" spans="1:9">
      <c r="A576" s="86" t="s">
        <v>123</v>
      </c>
      <c r="B576" s="116" t="s">
        <v>118</v>
      </c>
      <c r="C576" s="117"/>
      <c r="D576" s="86" t="s">
        <v>95</v>
      </c>
      <c r="E576" s="86"/>
      <c r="F576" s="88">
        <f>WORKDAY(F575,3)</f>
        <v>46352</v>
      </c>
      <c r="G576" s="88">
        <f t="shared" si="74"/>
        <v>46360</v>
      </c>
      <c r="H576" s="86">
        <v>7</v>
      </c>
      <c r="I576" s="86">
        <v>0</v>
      </c>
    </row>
    <row r="577" spans="1:9">
      <c r="A577" s="89" t="s">
        <v>123</v>
      </c>
      <c r="B577" s="89" t="s">
        <v>118</v>
      </c>
      <c r="C577" s="90"/>
      <c r="D577" s="89" t="s">
        <v>96</v>
      </c>
      <c r="E577" s="89"/>
      <c r="F577" s="91">
        <f>WORKDAY(F576,2)</f>
        <v>46356</v>
      </c>
      <c r="G577" s="91">
        <f t="shared" si="74"/>
        <v>46367</v>
      </c>
      <c r="H577" s="89">
        <v>10</v>
      </c>
      <c r="I577" s="89">
        <v>2</v>
      </c>
    </row>
    <row r="578" spans="1:9">
      <c r="A578" s="89" t="s">
        <v>123</v>
      </c>
      <c r="B578" s="89" t="s">
        <v>118</v>
      </c>
      <c r="C578" s="90"/>
      <c r="D578" s="89" t="s">
        <v>98</v>
      </c>
      <c r="E578" s="89"/>
      <c r="F578" s="91">
        <f>WORKDAY(F576,2)</f>
        <v>46356</v>
      </c>
      <c r="G578" s="91">
        <f t="shared" si="74"/>
        <v>46367</v>
      </c>
      <c r="H578" s="89">
        <v>10</v>
      </c>
      <c r="I578" s="89">
        <v>9</v>
      </c>
    </row>
    <row r="579" spans="1:9">
      <c r="A579" s="89" t="s">
        <v>123</v>
      </c>
      <c r="B579" s="89" t="s">
        <v>118</v>
      </c>
      <c r="C579" s="90"/>
      <c r="D579" s="89" t="s">
        <v>101</v>
      </c>
      <c r="E579" s="89"/>
      <c r="F579" s="91">
        <f>WORKDAY(F576,2)</f>
        <v>46356</v>
      </c>
      <c r="G579" s="91">
        <f t="shared" si="74"/>
        <v>46367</v>
      </c>
      <c r="H579" s="89">
        <v>10</v>
      </c>
      <c r="I579" s="89">
        <v>0</v>
      </c>
    </row>
    <row r="580" spans="1:9">
      <c r="A580" s="38" t="s">
        <v>123</v>
      </c>
      <c r="B580" s="38" t="s">
        <v>118</v>
      </c>
      <c r="C580" s="92"/>
      <c r="D580" s="38" t="s">
        <v>103</v>
      </c>
      <c r="E580" s="38"/>
      <c r="F580" s="93">
        <f>WORKDAY(G578,-4)</f>
        <v>46363</v>
      </c>
      <c r="G580" s="93">
        <f t="shared" si="74"/>
        <v>46365</v>
      </c>
      <c r="H580" s="38">
        <v>3</v>
      </c>
      <c r="I580" s="38">
        <v>0</v>
      </c>
    </row>
    <row r="581" spans="1:9">
      <c r="A581" s="38" t="s">
        <v>123</v>
      </c>
      <c r="B581" s="38" t="s">
        <v>118</v>
      </c>
      <c r="C581" s="92"/>
      <c r="D581" s="38" t="s">
        <v>106</v>
      </c>
      <c r="E581" s="38"/>
      <c r="F581" s="93">
        <f>WORKDAY(G578,-4)</f>
        <v>46363</v>
      </c>
      <c r="G581" s="93">
        <f t="shared" si="74"/>
        <v>46374</v>
      </c>
      <c r="H581" s="38">
        <v>10</v>
      </c>
      <c r="I581" s="38">
        <v>10</v>
      </c>
    </row>
    <row r="582" spans="1:9">
      <c r="A582" s="38" t="s">
        <v>123</v>
      </c>
      <c r="B582" s="38" t="s">
        <v>118</v>
      </c>
      <c r="C582" s="92"/>
      <c r="D582" s="38" t="s">
        <v>108</v>
      </c>
      <c r="E582" s="38"/>
      <c r="F582" s="93">
        <f>WORKDAY(G578,-4)</f>
        <v>46363</v>
      </c>
      <c r="G582" s="93">
        <f t="shared" si="74"/>
        <v>46374</v>
      </c>
      <c r="H582" s="38">
        <v>10</v>
      </c>
      <c r="I582" s="38">
        <v>6</v>
      </c>
    </row>
    <row r="583" spans="1:9">
      <c r="A583" s="94" t="s">
        <v>123</v>
      </c>
      <c r="B583" s="94" t="s">
        <v>118</v>
      </c>
      <c r="C583" s="95"/>
      <c r="D583" s="96" t="s">
        <v>109</v>
      </c>
      <c r="E583" s="96"/>
      <c r="F583" s="97">
        <f>WORKDAY(G578,1)</f>
        <v>46370</v>
      </c>
      <c r="G583" s="97">
        <f t="shared" si="74"/>
        <v>46381</v>
      </c>
      <c r="H583" s="94">
        <v>10</v>
      </c>
      <c r="I583" s="94">
        <v>0</v>
      </c>
    </row>
    <row r="584" spans="1:9">
      <c r="A584" s="94" t="s">
        <v>123</v>
      </c>
      <c r="B584" s="94" t="s">
        <v>118</v>
      </c>
      <c r="C584" s="95"/>
      <c r="D584" s="96" t="s">
        <v>112</v>
      </c>
      <c r="E584" s="96"/>
      <c r="F584" s="97">
        <f>WORKDAY(G578,1)</f>
        <v>46370</v>
      </c>
      <c r="G584" s="97">
        <f t="shared" si="74"/>
        <v>46381</v>
      </c>
      <c r="H584" s="94">
        <v>10</v>
      </c>
      <c r="I584" s="94">
        <v>0</v>
      </c>
    </row>
    <row r="585" spans="1:9">
      <c r="A585" s="77" t="s">
        <v>123</v>
      </c>
      <c r="B585" s="77" t="s">
        <v>118</v>
      </c>
      <c r="C585" s="98"/>
      <c r="D585" s="77" t="s">
        <v>113</v>
      </c>
      <c r="E585" s="77"/>
      <c r="F585" s="44">
        <f>WORKDAY(G583,-4)</f>
        <v>46377</v>
      </c>
      <c r="G585" s="44">
        <f t="shared" si="74"/>
        <v>46381</v>
      </c>
      <c r="H585" s="77">
        <v>5</v>
      </c>
      <c r="I585" s="77">
        <v>1</v>
      </c>
    </row>
    <row r="586" spans="1:9">
      <c r="A586" s="77" t="s">
        <v>123</v>
      </c>
      <c r="B586" s="77" t="s">
        <v>118</v>
      </c>
      <c r="C586" s="98"/>
      <c r="D586" s="77" t="s">
        <v>116</v>
      </c>
      <c r="E586" s="77"/>
      <c r="F586" s="44">
        <f>WORKDAY(G583,-4)</f>
        <v>46377</v>
      </c>
      <c r="G586" s="44">
        <f t="shared" si="74"/>
        <v>46381</v>
      </c>
      <c r="H586" s="77">
        <v>5</v>
      </c>
      <c r="I586" s="77">
        <v>0</v>
      </c>
    </row>
    <row r="587" spans="1:9">
      <c r="A587" s="5" t="s">
        <v>123</v>
      </c>
      <c r="B587" s="99" t="s">
        <v>119</v>
      </c>
      <c r="C587" s="100"/>
      <c r="D587" s="6" t="s">
        <v>11</v>
      </c>
      <c r="E587" s="6"/>
      <c r="F587" s="8">
        <f>WORKDAY(G536,1)</f>
        <v>46223</v>
      </c>
      <c r="G587" s="8">
        <f>WORKDAY(F587,H587-1,)</f>
        <v>46234</v>
      </c>
      <c r="H587" s="6">
        <v>10</v>
      </c>
      <c r="I587" s="6">
        <v>0</v>
      </c>
    </row>
    <row r="588" spans="1:9">
      <c r="A588" s="5" t="s">
        <v>123</v>
      </c>
      <c r="B588" s="99" t="s">
        <v>119</v>
      </c>
      <c r="C588" s="100"/>
      <c r="D588" s="6" t="s">
        <v>13</v>
      </c>
      <c r="E588" s="6"/>
      <c r="F588" s="8">
        <f>WORKDAY(G536,1)</f>
        <v>46223</v>
      </c>
      <c r="G588" s="8">
        <f t="shared" ref="G588" si="76">WORKDAY(F588,H588-1,)</f>
        <v>46234</v>
      </c>
      <c r="H588" s="6">
        <v>10</v>
      </c>
      <c r="I588" s="6">
        <v>0</v>
      </c>
    </row>
    <row r="589" spans="1:9">
      <c r="A589" s="5" t="s">
        <v>123</v>
      </c>
      <c r="B589" s="99" t="s">
        <v>119</v>
      </c>
      <c r="C589" s="100"/>
      <c r="D589" s="6" t="s">
        <v>15</v>
      </c>
      <c r="E589" s="6"/>
      <c r="F589" s="8">
        <f>WORKDAY(G535,1)</f>
        <v>46223</v>
      </c>
      <c r="G589" s="8">
        <f>WORKDAY(F589,H589-1,)</f>
        <v>46234</v>
      </c>
      <c r="H589" s="6">
        <v>10</v>
      </c>
      <c r="I589" s="6">
        <v>0</v>
      </c>
    </row>
    <row r="590" spans="1:9">
      <c r="A590" s="5" t="s">
        <v>123</v>
      </c>
      <c r="B590" s="99" t="s">
        <v>119</v>
      </c>
      <c r="C590" s="100"/>
      <c r="D590" s="6" t="s">
        <v>120</v>
      </c>
      <c r="E590" s="6"/>
      <c r="F590" s="8">
        <f>WORKDAY(G536,1)</f>
        <v>46223</v>
      </c>
      <c r="G590" s="8">
        <f>WORKDAY(F590,H590-1,)</f>
        <v>46234</v>
      </c>
      <c r="H590" s="6">
        <v>10</v>
      </c>
      <c r="I590" s="6">
        <v>0</v>
      </c>
    </row>
    <row r="591" spans="1:9">
      <c r="A591" s="11" t="s">
        <v>123</v>
      </c>
      <c r="B591" s="101" t="s">
        <v>119</v>
      </c>
      <c r="C591" s="102"/>
      <c r="D591" s="11" t="s">
        <v>16</v>
      </c>
      <c r="E591" s="11"/>
      <c r="F591" s="12">
        <f>WORKDAY(G590,-4)</f>
        <v>46230</v>
      </c>
      <c r="G591" s="12">
        <f t="shared" ref="G591:G598" si="77">WORKDAY(F591,H591-1,)</f>
        <v>46241</v>
      </c>
      <c r="H591" s="11">
        <v>10</v>
      </c>
      <c r="I591" s="11">
        <v>0</v>
      </c>
    </row>
    <row r="592" spans="1:9">
      <c r="A592" s="11" t="s">
        <v>123</v>
      </c>
      <c r="B592" s="101" t="s">
        <v>119</v>
      </c>
      <c r="C592" s="102"/>
      <c r="D592" s="11" t="s">
        <v>18</v>
      </c>
      <c r="E592" s="11"/>
      <c r="F592" s="12">
        <f>WORKDAY(G590,-4)</f>
        <v>46230</v>
      </c>
      <c r="G592" s="12">
        <f t="shared" si="77"/>
        <v>46241</v>
      </c>
      <c r="H592" s="11">
        <v>10</v>
      </c>
      <c r="I592" s="13">
        <v>0</v>
      </c>
    </row>
    <row r="593" spans="1:9">
      <c r="A593" s="11" t="s">
        <v>123</v>
      </c>
      <c r="B593" s="101" t="s">
        <v>119</v>
      </c>
      <c r="C593" s="102"/>
      <c r="D593" s="11" t="s">
        <v>21</v>
      </c>
      <c r="E593" s="11"/>
      <c r="F593" s="12">
        <f>WORKDAY(G590,-4)</f>
        <v>46230</v>
      </c>
      <c r="G593" s="12">
        <f t="shared" si="77"/>
        <v>46241</v>
      </c>
      <c r="H593" s="11">
        <v>10</v>
      </c>
      <c r="I593" s="11">
        <v>3</v>
      </c>
    </row>
    <row r="594" spans="1:9">
      <c r="A594" s="11" t="s">
        <v>123</v>
      </c>
      <c r="B594" s="101" t="s">
        <v>119</v>
      </c>
      <c r="C594" s="102"/>
      <c r="D594" s="11" t="s">
        <v>24</v>
      </c>
      <c r="E594" s="11"/>
      <c r="F594" s="12">
        <f>WORKDAY(G590,-4)</f>
        <v>46230</v>
      </c>
      <c r="G594" s="12">
        <f t="shared" si="77"/>
        <v>46241</v>
      </c>
      <c r="H594" s="11">
        <v>10</v>
      </c>
      <c r="I594" s="11">
        <v>0</v>
      </c>
    </row>
    <row r="595" spans="1:9">
      <c r="A595" s="17" t="s">
        <v>123</v>
      </c>
      <c r="B595" s="103" t="s">
        <v>119</v>
      </c>
      <c r="C595" s="104"/>
      <c r="D595" s="17" t="s">
        <v>26</v>
      </c>
      <c r="E595" s="17"/>
      <c r="F595" s="18">
        <f>WORKDAY(G594,-4)</f>
        <v>46237</v>
      </c>
      <c r="G595" s="18">
        <f t="shared" si="77"/>
        <v>46248</v>
      </c>
      <c r="H595" s="17">
        <v>10</v>
      </c>
      <c r="I595" s="17">
        <v>2</v>
      </c>
    </row>
    <row r="596" spans="1:9">
      <c r="A596" s="21" t="s">
        <v>123</v>
      </c>
      <c r="B596" s="21" t="s">
        <v>119</v>
      </c>
      <c r="C596" s="20"/>
      <c r="D596" s="21" t="s">
        <v>29</v>
      </c>
      <c r="E596" s="21"/>
      <c r="F596" s="22">
        <f>WORKDAY(F595,5)</f>
        <v>46244</v>
      </c>
      <c r="G596" s="22">
        <f t="shared" si="77"/>
        <v>46248</v>
      </c>
      <c r="H596" s="21">
        <v>5</v>
      </c>
      <c r="I596" s="21">
        <v>4</v>
      </c>
    </row>
    <row r="597" spans="1:9">
      <c r="A597" s="21" t="s">
        <v>123</v>
      </c>
      <c r="B597" s="21" t="s">
        <v>119</v>
      </c>
      <c r="C597" s="20"/>
      <c r="D597" s="21" t="s">
        <v>32</v>
      </c>
      <c r="E597" s="21"/>
      <c r="F597" s="22">
        <f>WORKDAY(G595,1)</f>
        <v>46251</v>
      </c>
      <c r="G597" s="22">
        <f t="shared" si="77"/>
        <v>46255</v>
      </c>
      <c r="H597" s="21">
        <v>5</v>
      </c>
      <c r="I597" s="21">
        <v>0</v>
      </c>
    </row>
    <row r="598" spans="1:9">
      <c r="A598" s="21" t="s">
        <v>123</v>
      </c>
      <c r="B598" s="21" t="s">
        <v>119</v>
      </c>
      <c r="C598" s="20"/>
      <c r="D598" s="21" t="s">
        <v>34</v>
      </c>
      <c r="E598" s="21"/>
      <c r="F598" s="22">
        <f>WORKDAY(G592,1)</f>
        <v>46244</v>
      </c>
      <c r="G598" s="22">
        <f t="shared" si="77"/>
        <v>46255</v>
      </c>
      <c r="H598" s="21">
        <v>10</v>
      </c>
      <c r="I598" s="21">
        <v>1</v>
      </c>
    </row>
    <row r="599" spans="1:9">
      <c r="A599" s="31" t="s">
        <v>123</v>
      </c>
      <c r="B599" s="31" t="s">
        <v>119</v>
      </c>
      <c r="C599" s="30"/>
      <c r="D599" s="31" t="s">
        <v>37</v>
      </c>
      <c r="E599" s="31"/>
      <c r="F599" s="32">
        <f>WORKDAY(G598,1)</f>
        <v>46258</v>
      </c>
      <c r="G599" s="32">
        <f>WORKDAY(F599,H599-1,)</f>
        <v>46269</v>
      </c>
      <c r="H599" s="31">
        <v>10</v>
      </c>
      <c r="I599" s="128">
        <v>2</v>
      </c>
    </row>
    <row r="600" spans="1:9">
      <c r="A600" s="31" t="s">
        <v>123</v>
      </c>
      <c r="B600" s="31" t="s">
        <v>119</v>
      </c>
      <c r="C600" s="30"/>
      <c r="D600" s="31" t="s">
        <v>40</v>
      </c>
      <c r="E600" s="31"/>
      <c r="F600" s="32">
        <f>WORKDAY(G598,1)</f>
        <v>46258</v>
      </c>
      <c r="G600" s="32">
        <f t="shared" ref="G600:G612" si="78">WORKDAY(F600,H600-1,)</f>
        <v>46269</v>
      </c>
      <c r="H600" s="31">
        <v>10</v>
      </c>
      <c r="I600" s="128"/>
    </row>
    <row r="601" spans="1:9">
      <c r="A601" s="31" t="s">
        <v>123</v>
      </c>
      <c r="B601" s="31" t="s">
        <v>119</v>
      </c>
      <c r="C601" s="30"/>
      <c r="D601" s="31" t="s">
        <v>42</v>
      </c>
      <c r="E601" s="31"/>
      <c r="F601" s="32">
        <f>WORKDAY(G598,1)</f>
        <v>46258</v>
      </c>
      <c r="G601" s="32">
        <f t="shared" si="78"/>
        <v>46269</v>
      </c>
      <c r="H601" s="31">
        <v>10</v>
      </c>
      <c r="I601" s="128"/>
    </row>
    <row r="602" spans="1:9">
      <c r="A602" s="31" t="s">
        <v>123</v>
      </c>
      <c r="B602" s="31" t="s">
        <v>119</v>
      </c>
      <c r="C602" s="30"/>
      <c r="D602" s="31" t="s">
        <v>44</v>
      </c>
      <c r="E602" s="31"/>
      <c r="F602" s="32">
        <f>WORKDAY(G598,1)</f>
        <v>46258</v>
      </c>
      <c r="G602" s="32">
        <f t="shared" si="78"/>
        <v>46269</v>
      </c>
      <c r="H602" s="31">
        <v>10</v>
      </c>
      <c r="I602" s="128"/>
    </row>
    <row r="603" spans="1:9">
      <c r="A603" s="31" t="s">
        <v>123</v>
      </c>
      <c r="B603" s="31" t="s">
        <v>119</v>
      </c>
      <c r="C603" s="30"/>
      <c r="D603" s="31" t="s">
        <v>45</v>
      </c>
      <c r="E603" s="31"/>
      <c r="F603" s="32">
        <f>WORKDAY(G598,1)</f>
        <v>46258</v>
      </c>
      <c r="G603" s="32">
        <f t="shared" si="78"/>
        <v>46269</v>
      </c>
      <c r="H603" s="31">
        <v>10</v>
      </c>
      <c r="I603" s="31">
        <v>5</v>
      </c>
    </row>
    <row r="604" spans="1:9">
      <c r="A604" s="25" t="s">
        <v>123</v>
      </c>
      <c r="B604" s="25" t="s">
        <v>119</v>
      </c>
      <c r="C604" s="105"/>
      <c r="D604" s="26" t="s">
        <v>47</v>
      </c>
      <c r="E604" s="26"/>
      <c r="F604" s="27">
        <f>WORKDAY(G603,-4)</f>
        <v>46265</v>
      </c>
      <c r="G604" s="28">
        <f t="shared" si="78"/>
        <v>46276</v>
      </c>
      <c r="H604" s="26">
        <v>10</v>
      </c>
      <c r="I604" s="26">
        <v>8</v>
      </c>
    </row>
    <row r="605" spans="1:9">
      <c r="A605" s="77" t="s">
        <v>123</v>
      </c>
      <c r="B605" s="77" t="s">
        <v>119</v>
      </c>
      <c r="C605" s="98"/>
      <c r="D605" s="42" t="s">
        <v>50</v>
      </c>
      <c r="E605" s="42"/>
      <c r="F605" s="43">
        <f>WORKDAY(G603,1)</f>
        <v>46272</v>
      </c>
      <c r="G605" s="44">
        <f t="shared" si="78"/>
        <v>46272</v>
      </c>
      <c r="H605" s="42">
        <v>1</v>
      </c>
      <c r="I605" s="42">
        <v>0</v>
      </c>
    </row>
    <row r="606" spans="1:9">
      <c r="A606" s="21" t="s">
        <v>123</v>
      </c>
      <c r="B606" s="21" t="s">
        <v>119</v>
      </c>
      <c r="C606" s="20"/>
      <c r="D606" s="47" t="s">
        <v>52</v>
      </c>
      <c r="E606" s="47"/>
      <c r="F606" s="48">
        <f>WORKDAY(G604,1)</f>
        <v>46279</v>
      </c>
      <c r="G606" s="22">
        <f t="shared" si="78"/>
        <v>46290</v>
      </c>
      <c r="H606" s="47">
        <v>10</v>
      </c>
      <c r="I606" s="47">
        <v>5</v>
      </c>
    </row>
    <row r="607" spans="1:9">
      <c r="A607" s="21" t="s">
        <v>123</v>
      </c>
      <c r="B607" s="21" t="s">
        <v>119</v>
      </c>
      <c r="C607" s="20"/>
      <c r="D607" s="49" t="s">
        <v>55</v>
      </c>
      <c r="E607" s="49"/>
      <c r="F607" s="48">
        <f>WORKDAY(G604,1)</f>
        <v>46279</v>
      </c>
      <c r="G607" s="22">
        <f t="shared" si="78"/>
        <v>46290</v>
      </c>
      <c r="H607" s="47">
        <v>10</v>
      </c>
      <c r="I607" s="47">
        <v>0</v>
      </c>
    </row>
    <row r="608" spans="1:9">
      <c r="A608" s="52" t="s">
        <v>123</v>
      </c>
      <c r="B608" s="110" t="s">
        <v>119</v>
      </c>
      <c r="C608" s="111"/>
      <c r="D608" s="52" t="s">
        <v>56</v>
      </c>
      <c r="E608" s="52"/>
      <c r="F608" s="53">
        <f t="shared" ref="F608" si="79">WORKDAY(G607,1)</f>
        <v>46293</v>
      </c>
      <c r="G608" s="53">
        <f t="shared" si="78"/>
        <v>46304</v>
      </c>
      <c r="H608" s="52">
        <v>10</v>
      </c>
      <c r="I608" s="52">
        <v>4</v>
      </c>
    </row>
    <row r="609" spans="1:9">
      <c r="A609" s="52" t="s">
        <v>123</v>
      </c>
      <c r="B609" s="110" t="s">
        <v>119</v>
      </c>
      <c r="C609" s="111"/>
      <c r="D609" s="52" t="s">
        <v>59</v>
      </c>
      <c r="E609" s="52"/>
      <c r="F609" s="53">
        <f>WORKDAY(G607,1)</f>
        <v>46293</v>
      </c>
      <c r="G609" s="53">
        <f t="shared" si="78"/>
        <v>46293</v>
      </c>
      <c r="H609" s="52">
        <v>1</v>
      </c>
      <c r="I609" s="52">
        <v>0</v>
      </c>
    </row>
    <row r="610" spans="1:9">
      <c r="A610" s="56" t="s">
        <v>123</v>
      </c>
      <c r="B610" s="112" t="s">
        <v>119</v>
      </c>
      <c r="C610" s="113"/>
      <c r="D610" s="56" t="s">
        <v>62</v>
      </c>
      <c r="E610" s="56"/>
      <c r="F610" s="57">
        <f>WORKDAY(G608,-4)</f>
        <v>46300</v>
      </c>
      <c r="G610" s="57">
        <f t="shared" si="78"/>
        <v>46311</v>
      </c>
      <c r="H610" s="56">
        <v>10</v>
      </c>
      <c r="I610" s="56">
        <v>0</v>
      </c>
    </row>
    <row r="611" spans="1:9">
      <c r="A611" s="56" t="s">
        <v>123</v>
      </c>
      <c r="B611" s="112" t="s">
        <v>119</v>
      </c>
      <c r="C611" s="113"/>
      <c r="D611" s="56" t="s">
        <v>64</v>
      </c>
      <c r="E611" s="56"/>
      <c r="F611" s="57">
        <f>WORKDAY(F610,1)</f>
        <v>46301</v>
      </c>
      <c r="G611" s="57">
        <f t="shared" si="78"/>
        <v>46311</v>
      </c>
      <c r="H611" s="56">
        <v>9</v>
      </c>
      <c r="I611" s="56">
        <v>0</v>
      </c>
    </row>
    <row r="612" spans="1:9">
      <c r="A612" s="31" t="s">
        <v>123</v>
      </c>
      <c r="B612" s="31" t="s">
        <v>119</v>
      </c>
      <c r="C612" s="30"/>
      <c r="D612" s="58" t="s">
        <v>65</v>
      </c>
      <c r="E612" s="58"/>
      <c r="F612" s="59">
        <f>WORKDAY(G610,1)</f>
        <v>46314</v>
      </c>
      <c r="G612" s="32">
        <f t="shared" si="78"/>
        <v>46325</v>
      </c>
      <c r="H612" s="58">
        <v>10</v>
      </c>
      <c r="I612" s="58">
        <v>2</v>
      </c>
    </row>
    <row r="613" spans="1:9">
      <c r="A613" s="106" t="s">
        <v>123</v>
      </c>
      <c r="B613" s="107" t="s">
        <v>119</v>
      </c>
      <c r="C613" s="108"/>
      <c r="D613" s="64" t="s">
        <v>68</v>
      </c>
      <c r="E613" s="64"/>
      <c r="F613" s="65">
        <f>WORKDAY(G612,1)</f>
        <v>46328</v>
      </c>
      <c r="G613" s="65">
        <f>WORKDAY(F613,H613-1,)</f>
        <v>46339</v>
      </c>
      <c r="H613" s="64">
        <v>10</v>
      </c>
      <c r="I613" s="129">
        <v>2</v>
      </c>
    </row>
    <row r="614" spans="1:9">
      <c r="A614" s="106" t="s">
        <v>123</v>
      </c>
      <c r="B614" s="107" t="s">
        <v>119</v>
      </c>
      <c r="C614" s="108"/>
      <c r="D614" s="64" t="s">
        <v>71</v>
      </c>
      <c r="E614" s="64"/>
      <c r="F614" s="65">
        <f>WORKDAY(G612,1)</f>
        <v>46328</v>
      </c>
      <c r="G614" s="65">
        <f t="shared" ref="G614:G616" si="80">WORKDAY(F613,H613-1,)</f>
        <v>46339</v>
      </c>
      <c r="H614" s="64">
        <v>10</v>
      </c>
      <c r="I614" s="129"/>
    </row>
    <row r="615" spans="1:9">
      <c r="A615" s="106" t="s">
        <v>123</v>
      </c>
      <c r="B615" s="107" t="s">
        <v>119</v>
      </c>
      <c r="C615" s="108"/>
      <c r="D615" s="64" t="s">
        <v>72</v>
      </c>
      <c r="E615" s="64"/>
      <c r="F615" s="65">
        <f>WORKDAY(G612,1)</f>
        <v>46328</v>
      </c>
      <c r="G615" s="65">
        <f t="shared" si="80"/>
        <v>46339</v>
      </c>
      <c r="H615" s="64">
        <v>10</v>
      </c>
      <c r="I615" s="129"/>
    </row>
    <row r="616" spans="1:9">
      <c r="A616" s="106" t="s">
        <v>123</v>
      </c>
      <c r="B616" s="107" t="s">
        <v>119</v>
      </c>
      <c r="C616" s="108"/>
      <c r="D616" s="64" t="s">
        <v>73</v>
      </c>
      <c r="E616" s="64"/>
      <c r="F616" s="65">
        <f>WORKDAY(G612,1)</f>
        <v>46328</v>
      </c>
      <c r="G616" s="65">
        <f t="shared" si="80"/>
        <v>46339</v>
      </c>
      <c r="H616" s="64">
        <v>10</v>
      </c>
      <c r="I616" s="129"/>
    </row>
    <row r="617" spans="1:9">
      <c r="A617" s="107" t="s">
        <v>123</v>
      </c>
      <c r="B617" s="107" t="s">
        <v>119</v>
      </c>
      <c r="C617" s="108"/>
      <c r="D617" s="64" t="s">
        <v>74</v>
      </c>
      <c r="E617" s="64"/>
      <c r="F617" s="65">
        <f>WORKDAY(G612,1)</f>
        <v>46328</v>
      </c>
      <c r="G617" s="66">
        <f>WORKDAY(F617,H617-1,)</f>
        <v>46339</v>
      </c>
      <c r="H617" s="64">
        <v>10</v>
      </c>
      <c r="I617" s="64">
        <v>3</v>
      </c>
    </row>
    <row r="618" spans="1:9">
      <c r="A618" s="107" t="s">
        <v>123</v>
      </c>
      <c r="B618" s="107" t="s">
        <v>119</v>
      </c>
      <c r="C618" s="108"/>
      <c r="D618" s="64" t="s">
        <v>77</v>
      </c>
      <c r="E618" s="64"/>
      <c r="F618" s="65">
        <f>WORKDAY(G612,1)</f>
        <v>46328</v>
      </c>
      <c r="G618" s="66">
        <f t="shared" ref="G618:G640" si="81">WORKDAY(F618,H618-1,)</f>
        <v>46339</v>
      </c>
      <c r="H618" s="64">
        <v>10</v>
      </c>
      <c r="I618" s="64">
        <v>0</v>
      </c>
    </row>
    <row r="619" spans="1:9">
      <c r="A619" s="107" t="s">
        <v>123</v>
      </c>
      <c r="B619" s="107" t="s">
        <v>119</v>
      </c>
      <c r="C619" s="108"/>
      <c r="D619" s="64" t="s">
        <v>80</v>
      </c>
      <c r="E619" s="64"/>
      <c r="F619" s="65">
        <f>WORKDAY(G612,1)</f>
        <v>46328</v>
      </c>
      <c r="G619" s="66">
        <f t="shared" si="81"/>
        <v>46339</v>
      </c>
      <c r="H619" s="64">
        <v>10</v>
      </c>
      <c r="I619" s="64">
        <v>0</v>
      </c>
    </row>
    <row r="620" spans="1:9">
      <c r="A620" s="107" t="s">
        <v>123</v>
      </c>
      <c r="B620" s="107" t="s">
        <v>119</v>
      </c>
      <c r="C620" s="108"/>
      <c r="D620" s="64" t="s">
        <v>81</v>
      </c>
      <c r="E620" s="64"/>
      <c r="F620" s="65">
        <f>WORKDAY(G612,1)</f>
        <v>46328</v>
      </c>
      <c r="G620" s="66">
        <f t="shared" si="81"/>
        <v>46339</v>
      </c>
      <c r="H620" s="64">
        <v>10</v>
      </c>
      <c r="I620" s="64">
        <v>6</v>
      </c>
    </row>
    <row r="621" spans="1:9">
      <c r="A621" s="70" t="s">
        <v>123</v>
      </c>
      <c r="B621" s="119" t="s">
        <v>119</v>
      </c>
      <c r="C621" s="120"/>
      <c r="D621" s="70" t="s">
        <v>82</v>
      </c>
      <c r="E621" s="70"/>
      <c r="F621" s="71">
        <f t="shared" ref="F621" si="82">WORKDAY(G620,1)</f>
        <v>46342</v>
      </c>
      <c r="G621" s="71">
        <f t="shared" si="81"/>
        <v>46353</v>
      </c>
      <c r="H621" s="70">
        <v>10</v>
      </c>
      <c r="I621" s="70">
        <v>4</v>
      </c>
    </row>
    <row r="622" spans="1:9">
      <c r="A622" s="77" t="s">
        <v>123</v>
      </c>
      <c r="B622" s="77" t="s">
        <v>119</v>
      </c>
      <c r="C622" s="98"/>
      <c r="D622" s="75" t="s">
        <v>85</v>
      </c>
      <c r="E622" s="75"/>
      <c r="F622" s="76">
        <f>WORKDAY(G621,-1)</f>
        <v>46352</v>
      </c>
      <c r="G622" s="44">
        <f t="shared" si="81"/>
        <v>46356</v>
      </c>
      <c r="H622" s="75">
        <v>3</v>
      </c>
      <c r="I622" s="75">
        <v>6</v>
      </c>
    </row>
    <row r="623" spans="1:9">
      <c r="A623" s="77" t="s">
        <v>123</v>
      </c>
      <c r="B623" s="77" t="s">
        <v>119</v>
      </c>
      <c r="C623" s="98"/>
      <c r="D623" s="75" t="s">
        <v>86</v>
      </c>
      <c r="E623" s="75"/>
      <c r="F623" s="76">
        <f>WORKDAY(G621,1)</f>
        <v>46356</v>
      </c>
      <c r="G623" s="44">
        <f t="shared" si="81"/>
        <v>46367</v>
      </c>
      <c r="H623" s="75">
        <v>10</v>
      </c>
      <c r="I623" s="75">
        <v>0</v>
      </c>
    </row>
    <row r="624" spans="1:9">
      <c r="A624" s="122" t="s">
        <v>123</v>
      </c>
      <c r="B624" s="78" t="s">
        <v>119</v>
      </c>
      <c r="C624" s="109"/>
      <c r="D624" s="79" t="s">
        <v>87</v>
      </c>
      <c r="E624" s="79"/>
      <c r="F624" s="81">
        <f>WORKDAY(F622,4)</f>
        <v>46358</v>
      </c>
      <c r="G624" s="82">
        <f t="shared" si="81"/>
        <v>46371</v>
      </c>
      <c r="H624" s="79">
        <v>10</v>
      </c>
      <c r="I624" s="79">
        <v>4</v>
      </c>
    </row>
    <row r="625" spans="1:9">
      <c r="A625" s="83" t="s">
        <v>123</v>
      </c>
      <c r="B625" s="114" t="s">
        <v>119</v>
      </c>
      <c r="C625" s="115"/>
      <c r="D625" s="83" t="s">
        <v>89</v>
      </c>
      <c r="E625" s="83"/>
      <c r="F625" s="85">
        <f>WORKDAY(F624,3)</f>
        <v>46363</v>
      </c>
      <c r="G625" s="85">
        <f t="shared" si="81"/>
        <v>46374</v>
      </c>
      <c r="H625" s="83">
        <v>10</v>
      </c>
      <c r="I625" s="127">
        <v>0</v>
      </c>
    </row>
    <row r="626" spans="1:9">
      <c r="A626" s="83" t="s">
        <v>123</v>
      </c>
      <c r="B626" s="114" t="s">
        <v>119</v>
      </c>
      <c r="C626" s="115"/>
      <c r="D626" s="83" t="s">
        <v>91</v>
      </c>
      <c r="E626" s="83"/>
      <c r="F626" s="85">
        <f>WORKDAY(F624,3)</f>
        <v>46363</v>
      </c>
      <c r="G626" s="85">
        <f t="shared" si="81"/>
        <v>46374</v>
      </c>
      <c r="H626" s="83">
        <v>10</v>
      </c>
      <c r="I626" s="127"/>
    </row>
    <row r="627" spans="1:9">
      <c r="A627" s="83" t="s">
        <v>123</v>
      </c>
      <c r="B627" s="114" t="s">
        <v>119</v>
      </c>
      <c r="C627" s="115"/>
      <c r="D627" s="83" t="s">
        <v>92</v>
      </c>
      <c r="E627" s="83"/>
      <c r="F627" s="85">
        <f>WORKDAY(F624,3)</f>
        <v>46363</v>
      </c>
      <c r="G627" s="85">
        <f t="shared" si="81"/>
        <v>46374</v>
      </c>
      <c r="H627" s="83">
        <v>10</v>
      </c>
      <c r="I627" s="127"/>
    </row>
    <row r="628" spans="1:9">
      <c r="A628" s="83" t="s">
        <v>123</v>
      </c>
      <c r="B628" s="114" t="s">
        <v>119</v>
      </c>
      <c r="C628" s="115"/>
      <c r="D628" s="83" t="s">
        <v>93</v>
      </c>
      <c r="E628" s="83"/>
      <c r="F628" s="85">
        <f>WORKDAY(F624,3)</f>
        <v>46363</v>
      </c>
      <c r="G628" s="85">
        <f t="shared" si="81"/>
        <v>46374</v>
      </c>
      <c r="H628" s="83">
        <v>10</v>
      </c>
      <c r="I628" s="127"/>
    </row>
    <row r="629" spans="1:9">
      <c r="A629" s="83" t="s">
        <v>123</v>
      </c>
      <c r="B629" s="114" t="s">
        <v>119</v>
      </c>
      <c r="C629" s="115"/>
      <c r="D629" s="83" t="s">
        <v>94</v>
      </c>
      <c r="E629" s="83"/>
      <c r="F629" s="85">
        <f>WORKDAY(F624,3)</f>
        <v>46363</v>
      </c>
      <c r="G629" s="85">
        <f t="shared" si="81"/>
        <v>46374</v>
      </c>
      <c r="H629" s="83">
        <v>10</v>
      </c>
      <c r="I629" s="83">
        <v>0</v>
      </c>
    </row>
    <row r="630" spans="1:9">
      <c r="A630" s="86" t="s">
        <v>123</v>
      </c>
      <c r="B630" s="116" t="s">
        <v>119</v>
      </c>
      <c r="C630" s="117"/>
      <c r="D630" s="86" t="s">
        <v>95</v>
      </c>
      <c r="E630" s="86"/>
      <c r="F630" s="88">
        <f>WORKDAY(F629,3)</f>
        <v>46366</v>
      </c>
      <c r="G630" s="88">
        <f t="shared" si="81"/>
        <v>46374</v>
      </c>
      <c r="H630" s="86">
        <v>7</v>
      </c>
      <c r="I630" s="86">
        <v>0</v>
      </c>
    </row>
    <row r="631" spans="1:9">
      <c r="A631" s="89" t="s">
        <v>123</v>
      </c>
      <c r="B631" s="89" t="s">
        <v>119</v>
      </c>
      <c r="C631" s="90"/>
      <c r="D631" s="89" t="s">
        <v>96</v>
      </c>
      <c r="E631" s="89"/>
      <c r="F631" s="91">
        <f>WORKDAY(F630,2)</f>
        <v>46370</v>
      </c>
      <c r="G631" s="91">
        <f t="shared" si="81"/>
        <v>46381</v>
      </c>
      <c r="H631" s="89">
        <v>10</v>
      </c>
      <c r="I631" s="89">
        <v>0</v>
      </c>
    </row>
    <row r="632" spans="1:9">
      <c r="A632" s="89" t="s">
        <v>123</v>
      </c>
      <c r="B632" s="89" t="s">
        <v>119</v>
      </c>
      <c r="C632" s="90"/>
      <c r="D632" s="89" t="s">
        <v>98</v>
      </c>
      <c r="E632" s="89"/>
      <c r="F632" s="91">
        <f>WORKDAY(F630,2)</f>
        <v>46370</v>
      </c>
      <c r="G632" s="91">
        <f t="shared" si="81"/>
        <v>46381</v>
      </c>
      <c r="H632" s="89">
        <v>10</v>
      </c>
      <c r="I632" s="89">
        <v>4</v>
      </c>
    </row>
    <row r="633" spans="1:9">
      <c r="A633" s="89" t="s">
        <v>123</v>
      </c>
      <c r="B633" s="89" t="s">
        <v>119</v>
      </c>
      <c r="C633" s="90"/>
      <c r="D633" s="89" t="s">
        <v>101</v>
      </c>
      <c r="E633" s="89"/>
      <c r="F633" s="91">
        <f>WORKDAY(F630,2)</f>
        <v>46370</v>
      </c>
      <c r="G633" s="91">
        <f t="shared" si="81"/>
        <v>46381</v>
      </c>
      <c r="H633" s="89">
        <v>10</v>
      </c>
      <c r="I633" s="89">
        <v>0</v>
      </c>
    </row>
    <row r="634" spans="1:9">
      <c r="A634" s="38" t="s">
        <v>123</v>
      </c>
      <c r="B634" s="38" t="s">
        <v>119</v>
      </c>
      <c r="C634" s="92"/>
      <c r="D634" s="38" t="s">
        <v>103</v>
      </c>
      <c r="E634" s="38"/>
      <c r="F634" s="93">
        <f>WORKDAY(G632,-4)</f>
        <v>46377</v>
      </c>
      <c r="G634" s="93">
        <f t="shared" si="81"/>
        <v>46379</v>
      </c>
      <c r="H634" s="38">
        <v>3</v>
      </c>
      <c r="I634" s="38">
        <v>0</v>
      </c>
    </row>
    <row r="635" spans="1:9">
      <c r="A635" s="38" t="s">
        <v>123</v>
      </c>
      <c r="B635" s="38" t="s">
        <v>119</v>
      </c>
      <c r="C635" s="92"/>
      <c r="D635" s="38" t="s">
        <v>106</v>
      </c>
      <c r="E635" s="38"/>
      <c r="F635" s="93">
        <f>WORKDAY(G632,-4)</f>
        <v>46377</v>
      </c>
      <c r="G635" s="93">
        <f t="shared" si="81"/>
        <v>46388</v>
      </c>
      <c r="H635" s="38">
        <v>10</v>
      </c>
      <c r="I635" s="38">
        <v>5</v>
      </c>
    </row>
    <row r="636" spans="1:9">
      <c r="A636" s="38" t="s">
        <v>123</v>
      </c>
      <c r="B636" s="38" t="s">
        <v>119</v>
      </c>
      <c r="C636" s="92"/>
      <c r="D636" s="38" t="s">
        <v>108</v>
      </c>
      <c r="E636" s="38"/>
      <c r="F636" s="93">
        <f>WORKDAY(G632,-4)</f>
        <v>46377</v>
      </c>
      <c r="G636" s="93">
        <f t="shared" si="81"/>
        <v>46388</v>
      </c>
      <c r="H636" s="38">
        <v>10</v>
      </c>
      <c r="I636" s="38">
        <v>3</v>
      </c>
    </row>
    <row r="637" spans="1:9">
      <c r="A637" s="94" t="s">
        <v>123</v>
      </c>
      <c r="B637" s="94" t="s">
        <v>119</v>
      </c>
      <c r="C637" s="95"/>
      <c r="D637" s="96" t="s">
        <v>109</v>
      </c>
      <c r="E637" s="96"/>
      <c r="F637" s="97">
        <f>WORKDAY(G632,1)</f>
        <v>46384</v>
      </c>
      <c r="G637" s="97">
        <f t="shared" si="81"/>
        <v>46395</v>
      </c>
      <c r="H637" s="94">
        <v>10</v>
      </c>
      <c r="I637" s="94">
        <v>0</v>
      </c>
    </row>
    <row r="638" spans="1:9">
      <c r="A638" s="94" t="s">
        <v>123</v>
      </c>
      <c r="B638" s="94" t="s">
        <v>119</v>
      </c>
      <c r="C638" s="95"/>
      <c r="D638" s="96" t="s">
        <v>112</v>
      </c>
      <c r="E638" s="96"/>
      <c r="F638" s="97">
        <f>WORKDAY(G632,1)</f>
        <v>46384</v>
      </c>
      <c r="G638" s="97">
        <f t="shared" si="81"/>
        <v>46395</v>
      </c>
      <c r="H638" s="94">
        <v>10</v>
      </c>
      <c r="I638" s="94">
        <v>0</v>
      </c>
    </row>
    <row r="639" spans="1:9">
      <c r="A639" s="77" t="s">
        <v>123</v>
      </c>
      <c r="B639" s="77" t="s">
        <v>119</v>
      </c>
      <c r="C639" s="98"/>
      <c r="D639" s="77" t="s">
        <v>113</v>
      </c>
      <c r="E639" s="77"/>
      <c r="F639" s="44">
        <f>WORKDAY(G637,-4)</f>
        <v>46391</v>
      </c>
      <c r="G639" s="44">
        <f t="shared" si="81"/>
        <v>46395</v>
      </c>
      <c r="H639" s="77">
        <v>5</v>
      </c>
      <c r="I639" s="77">
        <v>0</v>
      </c>
    </row>
    <row r="640" spans="1:9">
      <c r="A640" s="77" t="s">
        <v>123</v>
      </c>
      <c r="B640" s="77" t="s">
        <v>119</v>
      </c>
      <c r="C640" s="98"/>
      <c r="D640" s="77" t="s">
        <v>116</v>
      </c>
      <c r="E640" s="77"/>
      <c r="F640" s="44">
        <f>WORKDAY(G637,-4)</f>
        <v>46391</v>
      </c>
      <c r="G640" s="44">
        <f t="shared" si="81"/>
        <v>46395</v>
      </c>
      <c r="H640" s="77">
        <v>5</v>
      </c>
      <c r="I640" s="77">
        <v>0</v>
      </c>
    </row>
    <row r="641" spans="1:9">
      <c r="A641" s="5" t="s">
        <v>124</v>
      </c>
      <c r="B641" s="6" t="s">
        <v>10</v>
      </c>
      <c r="C641" s="7"/>
      <c r="D641" s="6" t="s">
        <v>11</v>
      </c>
      <c r="E641" s="6"/>
      <c r="F641" s="8">
        <f>WORKDAY(G590,6)</f>
        <v>46244</v>
      </c>
      <c r="G641" s="8">
        <f>WORKDAY(F641,H641-1,)</f>
        <v>46255</v>
      </c>
      <c r="H641" s="6">
        <v>10</v>
      </c>
      <c r="I641" s="6">
        <v>36</v>
      </c>
    </row>
    <row r="642" spans="1:9">
      <c r="A642" s="5" t="s">
        <v>124</v>
      </c>
      <c r="B642" s="6" t="s">
        <v>10</v>
      </c>
      <c r="C642" s="7"/>
      <c r="D642" s="6" t="s">
        <v>13</v>
      </c>
      <c r="E642" s="6"/>
      <c r="F642" s="8">
        <f>WORKDAY(G590,6)</f>
        <v>46244</v>
      </c>
      <c r="G642" s="8">
        <f t="shared" ref="G642" si="83">WORKDAY(F642,H642-1,)</f>
        <v>46255</v>
      </c>
      <c r="H642" s="6">
        <v>10</v>
      </c>
      <c r="I642" s="6">
        <v>1</v>
      </c>
    </row>
    <row r="643" spans="1:9">
      <c r="A643" s="5" t="s">
        <v>124</v>
      </c>
      <c r="B643" s="6" t="s">
        <v>10</v>
      </c>
      <c r="C643" s="7"/>
      <c r="D643" s="6" t="s">
        <v>15</v>
      </c>
      <c r="E643" s="6"/>
      <c r="F643" s="8">
        <f>WORKDAY(G590,6)</f>
        <v>46244</v>
      </c>
      <c r="G643" s="8">
        <f>WORKDAY(F643,H643-1,)</f>
        <v>46255</v>
      </c>
      <c r="H643" s="6">
        <v>10</v>
      </c>
      <c r="I643" s="6">
        <v>1</v>
      </c>
    </row>
    <row r="644" spans="1:9">
      <c r="A644" s="11" t="s">
        <v>124</v>
      </c>
      <c r="B644" s="11" t="s">
        <v>10</v>
      </c>
      <c r="C644" s="10"/>
      <c r="D644" s="11" t="s">
        <v>16</v>
      </c>
      <c r="E644" s="11"/>
      <c r="F644" s="12">
        <f>WORKDAY(G643,-4)</f>
        <v>46251</v>
      </c>
      <c r="G644" s="12">
        <f t="shared" ref="G644:G651" si="84">WORKDAY(F644,H644-1,)</f>
        <v>46262</v>
      </c>
      <c r="H644" s="11">
        <v>10</v>
      </c>
      <c r="I644" s="11">
        <v>5</v>
      </c>
    </row>
    <row r="645" spans="1:9">
      <c r="A645" s="11" t="s">
        <v>124</v>
      </c>
      <c r="B645" s="11" t="s">
        <v>10</v>
      </c>
      <c r="C645" s="10"/>
      <c r="D645" s="11" t="s">
        <v>18</v>
      </c>
      <c r="E645" s="11"/>
      <c r="F645" s="12">
        <f>WORKDAY(G643,-4)</f>
        <v>46251</v>
      </c>
      <c r="G645" s="12">
        <f t="shared" si="84"/>
        <v>46262</v>
      </c>
      <c r="H645" s="11">
        <v>10</v>
      </c>
      <c r="I645" s="13">
        <v>4</v>
      </c>
    </row>
    <row r="646" spans="1:9">
      <c r="A646" s="11" t="s">
        <v>124</v>
      </c>
      <c r="B646" s="11" t="s">
        <v>10</v>
      </c>
      <c r="C646" s="10"/>
      <c r="D646" s="11" t="s">
        <v>21</v>
      </c>
      <c r="E646" s="11"/>
      <c r="F646" s="12">
        <f>WORKDAY(G643,-4)</f>
        <v>46251</v>
      </c>
      <c r="G646" s="12">
        <f t="shared" si="84"/>
        <v>46262</v>
      </c>
      <c r="H646" s="11">
        <v>10</v>
      </c>
      <c r="I646" s="11">
        <v>3</v>
      </c>
    </row>
    <row r="647" spans="1:9">
      <c r="A647" s="11" t="s">
        <v>124</v>
      </c>
      <c r="B647" s="11" t="s">
        <v>10</v>
      </c>
      <c r="C647" s="10"/>
      <c r="D647" s="11" t="s">
        <v>24</v>
      </c>
      <c r="E647" s="11"/>
      <c r="F647" s="12">
        <f>WORKDAY(G643,-4)</f>
        <v>46251</v>
      </c>
      <c r="G647" s="12">
        <f t="shared" si="84"/>
        <v>46262</v>
      </c>
      <c r="H647" s="11">
        <v>10</v>
      </c>
      <c r="I647" s="11">
        <v>0</v>
      </c>
    </row>
    <row r="648" spans="1:9">
      <c r="A648" s="17" t="s">
        <v>124</v>
      </c>
      <c r="B648" s="17" t="s">
        <v>10</v>
      </c>
      <c r="C648" s="16"/>
      <c r="D648" s="17" t="s">
        <v>26</v>
      </c>
      <c r="E648" s="17"/>
      <c r="F648" s="18">
        <f>WORKDAY(G647,-4)</f>
        <v>46258</v>
      </c>
      <c r="G648" s="18">
        <f t="shared" si="84"/>
        <v>46269</v>
      </c>
      <c r="H648" s="17">
        <v>10</v>
      </c>
      <c r="I648" s="17">
        <v>2</v>
      </c>
    </row>
    <row r="649" spans="1:9">
      <c r="A649" s="21" t="s">
        <v>124</v>
      </c>
      <c r="B649" s="21" t="s">
        <v>10</v>
      </c>
      <c r="C649" s="20"/>
      <c r="D649" s="21" t="s">
        <v>29</v>
      </c>
      <c r="E649" s="21"/>
      <c r="F649" s="22">
        <f>WORKDAY(F648,5)</f>
        <v>46265</v>
      </c>
      <c r="G649" s="22">
        <f t="shared" si="84"/>
        <v>46269</v>
      </c>
      <c r="H649" s="21">
        <v>5</v>
      </c>
      <c r="I649" s="21">
        <v>4</v>
      </c>
    </row>
    <row r="650" spans="1:9">
      <c r="A650" s="21" t="s">
        <v>124</v>
      </c>
      <c r="B650" s="21" t="s">
        <v>10</v>
      </c>
      <c r="C650" s="20"/>
      <c r="D650" s="21" t="s">
        <v>32</v>
      </c>
      <c r="E650" s="21"/>
      <c r="F650" s="22">
        <f>WORKDAY(G648,1)</f>
        <v>46272</v>
      </c>
      <c r="G650" s="22">
        <f t="shared" si="84"/>
        <v>46276</v>
      </c>
      <c r="H650" s="21">
        <v>5</v>
      </c>
      <c r="I650" s="21">
        <v>1</v>
      </c>
    </row>
    <row r="651" spans="1:9">
      <c r="A651" s="21" t="s">
        <v>124</v>
      </c>
      <c r="B651" s="21" t="s">
        <v>10</v>
      </c>
      <c r="C651" s="20"/>
      <c r="D651" s="21" t="s">
        <v>34</v>
      </c>
      <c r="E651" s="21"/>
      <c r="F651" s="22">
        <f>WORKDAY(G645,1)</f>
        <v>46265</v>
      </c>
      <c r="G651" s="22">
        <f t="shared" si="84"/>
        <v>46276</v>
      </c>
      <c r="H651" s="21">
        <v>10</v>
      </c>
      <c r="I651" s="21">
        <v>3</v>
      </c>
    </row>
    <row r="652" spans="1:9">
      <c r="A652" s="31" t="s">
        <v>124</v>
      </c>
      <c r="B652" s="31" t="s">
        <v>10</v>
      </c>
      <c r="C652" s="30"/>
      <c r="D652" s="31" t="s">
        <v>37</v>
      </c>
      <c r="E652" s="31"/>
      <c r="F652" s="32">
        <f>WORKDAY(G651,1)</f>
        <v>46279</v>
      </c>
      <c r="G652" s="32">
        <f>WORKDAY(F652,H652-1,)</f>
        <v>46290</v>
      </c>
      <c r="H652" s="31">
        <v>10</v>
      </c>
      <c r="I652" s="128">
        <v>5</v>
      </c>
    </row>
    <row r="653" spans="1:9">
      <c r="A653" s="31" t="s">
        <v>124</v>
      </c>
      <c r="B653" s="31" t="s">
        <v>10</v>
      </c>
      <c r="C653" s="30"/>
      <c r="D653" s="31" t="s">
        <v>40</v>
      </c>
      <c r="E653" s="31"/>
      <c r="F653" s="32">
        <f>WORKDAY(G651,1)</f>
        <v>46279</v>
      </c>
      <c r="G653" s="32">
        <f t="shared" ref="G653:G665" si="85">WORKDAY(F653,H653-1,)</f>
        <v>46290</v>
      </c>
      <c r="H653" s="31">
        <v>10</v>
      </c>
      <c r="I653" s="128"/>
    </row>
    <row r="654" spans="1:9">
      <c r="A654" s="31" t="s">
        <v>124</v>
      </c>
      <c r="B654" s="31" t="s">
        <v>10</v>
      </c>
      <c r="C654" s="30"/>
      <c r="D654" s="31" t="s">
        <v>42</v>
      </c>
      <c r="E654" s="31"/>
      <c r="F654" s="32">
        <f>WORKDAY(G651,1)</f>
        <v>46279</v>
      </c>
      <c r="G654" s="32">
        <f t="shared" si="85"/>
        <v>46290</v>
      </c>
      <c r="H654" s="31">
        <v>10</v>
      </c>
      <c r="I654" s="128"/>
    </row>
    <row r="655" spans="1:9">
      <c r="A655" s="31" t="s">
        <v>124</v>
      </c>
      <c r="B655" s="31" t="s">
        <v>10</v>
      </c>
      <c r="C655" s="30"/>
      <c r="D655" s="31" t="s">
        <v>44</v>
      </c>
      <c r="E655" s="31"/>
      <c r="F655" s="32">
        <f>WORKDAY(G651,1)</f>
        <v>46279</v>
      </c>
      <c r="G655" s="32">
        <f t="shared" si="85"/>
        <v>46290</v>
      </c>
      <c r="H655" s="31">
        <v>10</v>
      </c>
      <c r="I655" s="128"/>
    </row>
    <row r="656" spans="1:9">
      <c r="A656" s="31" t="s">
        <v>124</v>
      </c>
      <c r="B656" s="58" t="s">
        <v>10</v>
      </c>
      <c r="C656" s="34"/>
      <c r="D656" s="31" t="s">
        <v>45</v>
      </c>
      <c r="E656" s="31"/>
      <c r="F656" s="32">
        <f>WORKDAY(G651,1)</f>
        <v>46279</v>
      </c>
      <c r="G656" s="32">
        <f t="shared" si="85"/>
        <v>46290</v>
      </c>
      <c r="H656" s="31">
        <v>10</v>
      </c>
      <c r="I656" s="31">
        <v>5</v>
      </c>
    </row>
    <row r="657" spans="1:9">
      <c r="A657" s="25" t="s">
        <v>124</v>
      </c>
      <c r="B657" s="26" t="s">
        <v>10</v>
      </c>
      <c r="C657" s="37"/>
      <c r="D657" s="26" t="s">
        <v>47</v>
      </c>
      <c r="E657" s="26"/>
      <c r="F657" s="27">
        <f>WORKDAY(G656,-4)</f>
        <v>46286</v>
      </c>
      <c r="G657" s="28">
        <f t="shared" si="85"/>
        <v>46297</v>
      </c>
      <c r="H657" s="26">
        <v>10</v>
      </c>
      <c r="I657" s="26">
        <v>11</v>
      </c>
    </row>
    <row r="658" spans="1:9">
      <c r="A658" s="77" t="s">
        <v>124</v>
      </c>
      <c r="B658" s="42" t="s">
        <v>10</v>
      </c>
      <c r="C658" s="41"/>
      <c r="D658" s="42" t="s">
        <v>50</v>
      </c>
      <c r="E658" s="42"/>
      <c r="F658" s="43">
        <f>WORKDAY(G656,1)</f>
        <v>46293</v>
      </c>
      <c r="G658" s="44">
        <f t="shared" si="85"/>
        <v>46293</v>
      </c>
      <c r="H658" s="42">
        <v>1</v>
      </c>
      <c r="I658" s="42">
        <v>0</v>
      </c>
    </row>
    <row r="659" spans="1:9">
      <c r="A659" s="21" t="s">
        <v>124</v>
      </c>
      <c r="B659" s="47" t="s">
        <v>10</v>
      </c>
      <c r="C659" s="46"/>
      <c r="D659" s="47" t="s">
        <v>52</v>
      </c>
      <c r="E659" s="47"/>
      <c r="F659" s="48">
        <f>WORKDAY(G657,1)</f>
        <v>46300</v>
      </c>
      <c r="G659" s="22">
        <f t="shared" si="85"/>
        <v>46311</v>
      </c>
      <c r="H659" s="47">
        <v>10</v>
      </c>
      <c r="I659" s="47">
        <v>5</v>
      </c>
    </row>
    <row r="660" spans="1:9">
      <c r="A660" s="21" t="s">
        <v>124</v>
      </c>
      <c r="B660" s="47" t="s">
        <v>10</v>
      </c>
      <c r="C660" s="46"/>
      <c r="D660" s="49" t="s">
        <v>55</v>
      </c>
      <c r="E660" s="49"/>
      <c r="F660" s="48">
        <f>WORKDAY(G657,1)</f>
        <v>46300</v>
      </c>
      <c r="G660" s="22">
        <f t="shared" si="85"/>
        <v>46311</v>
      </c>
      <c r="H660" s="47">
        <v>10</v>
      </c>
      <c r="I660" s="47">
        <v>0</v>
      </c>
    </row>
    <row r="661" spans="1:9">
      <c r="A661" s="52" t="s">
        <v>124</v>
      </c>
      <c r="B661" s="52" t="s">
        <v>10</v>
      </c>
      <c r="C661" s="51"/>
      <c r="D661" s="52" t="s">
        <v>56</v>
      </c>
      <c r="E661" s="52"/>
      <c r="F661" s="53">
        <f t="shared" ref="F661" si="86">WORKDAY(G660,1)</f>
        <v>46314</v>
      </c>
      <c r="G661" s="53">
        <f t="shared" si="85"/>
        <v>46325</v>
      </c>
      <c r="H661" s="52">
        <v>10</v>
      </c>
      <c r="I661" s="52">
        <v>7</v>
      </c>
    </row>
    <row r="662" spans="1:9">
      <c r="A662" s="52" t="s">
        <v>124</v>
      </c>
      <c r="B662" s="52" t="s">
        <v>10</v>
      </c>
      <c r="C662" s="51"/>
      <c r="D662" s="52" t="s">
        <v>59</v>
      </c>
      <c r="E662" s="52"/>
      <c r="F662" s="53">
        <f>WORKDAY(G660,1)</f>
        <v>46314</v>
      </c>
      <c r="G662" s="53">
        <f t="shared" si="85"/>
        <v>46314</v>
      </c>
      <c r="H662" s="52">
        <v>1</v>
      </c>
      <c r="I662" s="52">
        <v>5</v>
      </c>
    </row>
    <row r="663" spans="1:9">
      <c r="A663" s="56" t="s">
        <v>124</v>
      </c>
      <c r="B663" s="56" t="s">
        <v>10</v>
      </c>
      <c r="C663" s="55"/>
      <c r="D663" s="56" t="s">
        <v>62</v>
      </c>
      <c r="E663" s="56"/>
      <c r="F663" s="57">
        <f>WORKDAY(G661,-4)</f>
        <v>46321</v>
      </c>
      <c r="G663" s="57">
        <f t="shared" si="85"/>
        <v>46332</v>
      </c>
      <c r="H663" s="56">
        <v>10</v>
      </c>
      <c r="I663" s="56">
        <v>10</v>
      </c>
    </row>
    <row r="664" spans="1:9">
      <c r="A664" s="56" t="s">
        <v>124</v>
      </c>
      <c r="B664" s="56" t="s">
        <v>10</v>
      </c>
      <c r="C664" s="55"/>
      <c r="D664" s="56" t="s">
        <v>64</v>
      </c>
      <c r="E664" s="56"/>
      <c r="F664" s="57">
        <f>WORKDAY(F663,1)</f>
        <v>46322</v>
      </c>
      <c r="G664" s="57">
        <f t="shared" si="85"/>
        <v>46332</v>
      </c>
      <c r="H664" s="56">
        <v>9</v>
      </c>
      <c r="I664" s="56">
        <v>0</v>
      </c>
    </row>
    <row r="665" spans="1:9">
      <c r="A665" s="31" t="s">
        <v>124</v>
      </c>
      <c r="B665" s="58" t="s">
        <v>10</v>
      </c>
      <c r="C665" s="34"/>
      <c r="D665" s="58" t="s">
        <v>65</v>
      </c>
      <c r="E665" s="58"/>
      <c r="F665" s="59">
        <f>WORKDAY(G663,1)</f>
        <v>46335</v>
      </c>
      <c r="G665" s="32">
        <f t="shared" si="85"/>
        <v>46346</v>
      </c>
      <c r="H665" s="58">
        <v>10</v>
      </c>
      <c r="I665" s="58">
        <v>4</v>
      </c>
    </row>
    <row r="666" spans="1:9">
      <c r="A666" s="107" t="s">
        <v>124</v>
      </c>
      <c r="B666" s="121" t="s">
        <v>10</v>
      </c>
      <c r="C666" s="63"/>
      <c r="D666" s="64" t="s">
        <v>68</v>
      </c>
      <c r="E666" s="64"/>
      <c r="F666" s="65">
        <f>WORKDAY(G665,1)</f>
        <v>46349</v>
      </c>
      <c r="G666" s="65">
        <f>WORKDAY(F666,H666-1,)</f>
        <v>46360</v>
      </c>
      <c r="H666" s="64">
        <v>10</v>
      </c>
      <c r="I666" s="130">
        <v>4</v>
      </c>
    </row>
    <row r="667" spans="1:9">
      <c r="A667" s="107" t="s">
        <v>124</v>
      </c>
      <c r="B667" s="121" t="s">
        <v>10</v>
      </c>
      <c r="C667" s="63"/>
      <c r="D667" s="64" t="s">
        <v>71</v>
      </c>
      <c r="E667" s="64"/>
      <c r="F667" s="65">
        <f>WORKDAY(G665,1)</f>
        <v>46349</v>
      </c>
      <c r="G667" s="65">
        <f t="shared" ref="G667:G669" si="87">WORKDAY(F666,H666-1,)</f>
        <v>46360</v>
      </c>
      <c r="H667" s="64">
        <v>10</v>
      </c>
      <c r="I667" s="130"/>
    </row>
    <row r="668" spans="1:9">
      <c r="A668" s="107" t="s">
        <v>124</v>
      </c>
      <c r="B668" s="121" t="s">
        <v>10</v>
      </c>
      <c r="C668" s="63"/>
      <c r="D668" s="64" t="s">
        <v>72</v>
      </c>
      <c r="E668" s="64"/>
      <c r="F668" s="65">
        <f>WORKDAY(G665,1)</f>
        <v>46349</v>
      </c>
      <c r="G668" s="65">
        <f t="shared" si="87"/>
        <v>46360</v>
      </c>
      <c r="H668" s="64">
        <v>10</v>
      </c>
      <c r="I668" s="130"/>
    </row>
    <row r="669" spans="1:9">
      <c r="A669" s="107" t="s">
        <v>124</v>
      </c>
      <c r="B669" s="121" t="s">
        <v>10</v>
      </c>
      <c r="C669" s="63"/>
      <c r="D669" s="64" t="s">
        <v>73</v>
      </c>
      <c r="E669" s="64"/>
      <c r="F669" s="65">
        <f>WORKDAY(G665,1)</f>
        <v>46349</v>
      </c>
      <c r="G669" s="65">
        <f t="shared" si="87"/>
        <v>46360</v>
      </c>
      <c r="H669" s="64">
        <v>10</v>
      </c>
      <c r="I669" s="130"/>
    </row>
    <row r="670" spans="1:9">
      <c r="A670" s="107" t="s">
        <v>124</v>
      </c>
      <c r="B670" s="121" t="s">
        <v>10</v>
      </c>
      <c r="C670" s="63"/>
      <c r="D670" s="64" t="s">
        <v>74</v>
      </c>
      <c r="E670" s="64"/>
      <c r="F670" s="65">
        <f>WORKDAY(G665,1)</f>
        <v>46349</v>
      </c>
      <c r="G670" s="66">
        <f>WORKDAY(F670,H670-1,)</f>
        <v>46360</v>
      </c>
      <c r="H670" s="64">
        <v>10</v>
      </c>
      <c r="I670" s="64">
        <v>6</v>
      </c>
    </row>
    <row r="671" spans="1:9">
      <c r="A671" s="107" t="s">
        <v>124</v>
      </c>
      <c r="B671" s="121" t="s">
        <v>10</v>
      </c>
      <c r="C671" s="63"/>
      <c r="D671" s="64" t="s">
        <v>77</v>
      </c>
      <c r="E671" s="64"/>
      <c r="F671" s="65">
        <f>WORKDAY(G665,1)</f>
        <v>46349</v>
      </c>
      <c r="G671" s="66">
        <f t="shared" ref="G671:G693" si="88">WORKDAY(F671,H671-1,)</f>
        <v>46360</v>
      </c>
      <c r="H671" s="64">
        <v>10</v>
      </c>
      <c r="I671" s="64">
        <v>1</v>
      </c>
    </row>
    <row r="672" spans="1:9">
      <c r="A672" s="107" t="s">
        <v>124</v>
      </c>
      <c r="B672" s="121" t="s">
        <v>10</v>
      </c>
      <c r="C672" s="63"/>
      <c r="D672" s="64" t="s">
        <v>80</v>
      </c>
      <c r="E672" s="64"/>
      <c r="F672" s="65">
        <f>WORKDAY(G665,1)</f>
        <v>46349</v>
      </c>
      <c r="G672" s="66">
        <f t="shared" si="88"/>
        <v>46360</v>
      </c>
      <c r="H672" s="64">
        <v>10</v>
      </c>
      <c r="I672" s="64">
        <v>0</v>
      </c>
    </row>
    <row r="673" spans="1:9">
      <c r="A673" s="107" t="s">
        <v>124</v>
      </c>
      <c r="B673" s="121" t="s">
        <v>10</v>
      </c>
      <c r="C673" s="63"/>
      <c r="D673" s="64" t="s">
        <v>81</v>
      </c>
      <c r="E673" s="64"/>
      <c r="F673" s="65">
        <f>WORKDAY(G665,1)</f>
        <v>46349</v>
      </c>
      <c r="G673" s="66">
        <f t="shared" si="88"/>
        <v>46360</v>
      </c>
      <c r="H673" s="64">
        <v>10</v>
      </c>
      <c r="I673" s="64">
        <v>4</v>
      </c>
    </row>
    <row r="674" spans="1:9">
      <c r="A674" s="70" t="s">
        <v>124</v>
      </c>
      <c r="B674" s="70" t="s">
        <v>10</v>
      </c>
      <c r="C674" s="69"/>
      <c r="D674" s="70" t="s">
        <v>82</v>
      </c>
      <c r="E674" s="70"/>
      <c r="F674" s="71">
        <f t="shared" ref="F674" si="89">WORKDAY(G673,1)</f>
        <v>46363</v>
      </c>
      <c r="G674" s="71">
        <f t="shared" si="88"/>
        <v>46374</v>
      </c>
      <c r="H674" s="70">
        <v>10</v>
      </c>
      <c r="I674" s="70">
        <v>4</v>
      </c>
    </row>
    <row r="675" spans="1:9">
      <c r="A675" s="77" t="s">
        <v>124</v>
      </c>
      <c r="B675" s="75" t="s">
        <v>10</v>
      </c>
      <c r="C675" s="74"/>
      <c r="D675" s="75" t="s">
        <v>85</v>
      </c>
      <c r="E675" s="75"/>
      <c r="F675" s="76">
        <f>WORKDAY(G674,-1)</f>
        <v>46373</v>
      </c>
      <c r="G675" s="44">
        <f t="shared" si="88"/>
        <v>46377</v>
      </c>
      <c r="H675" s="75">
        <v>3</v>
      </c>
      <c r="I675" s="75">
        <v>12</v>
      </c>
    </row>
    <row r="676" spans="1:9">
      <c r="A676" s="77" t="s">
        <v>124</v>
      </c>
      <c r="B676" s="75" t="s">
        <v>10</v>
      </c>
      <c r="C676" s="74"/>
      <c r="D676" s="75" t="s">
        <v>86</v>
      </c>
      <c r="E676" s="75"/>
      <c r="F676" s="76">
        <f>WORKDAY(G674,1)</f>
        <v>46377</v>
      </c>
      <c r="G676" s="44">
        <f t="shared" si="88"/>
        <v>46388</v>
      </c>
      <c r="H676" s="75">
        <v>10</v>
      </c>
      <c r="I676" s="75">
        <v>0</v>
      </c>
    </row>
    <row r="677" spans="1:9">
      <c r="A677" s="122" t="s">
        <v>124</v>
      </c>
      <c r="B677" s="79" t="s">
        <v>10</v>
      </c>
      <c r="C677" s="80"/>
      <c r="D677" s="79" t="s">
        <v>87</v>
      </c>
      <c r="E677" s="79"/>
      <c r="F677" s="81">
        <f>WORKDAY(F675,4)</f>
        <v>46379</v>
      </c>
      <c r="G677" s="82">
        <f t="shared" si="88"/>
        <v>46392</v>
      </c>
      <c r="H677" s="79">
        <v>10</v>
      </c>
      <c r="I677" s="79">
        <v>4</v>
      </c>
    </row>
    <row r="678" spans="1:9">
      <c r="A678" s="83" t="s">
        <v>124</v>
      </c>
      <c r="B678" s="83" t="s">
        <v>10</v>
      </c>
      <c r="C678" s="84"/>
      <c r="D678" s="83" t="s">
        <v>89</v>
      </c>
      <c r="E678" s="83"/>
      <c r="F678" s="85">
        <f>WORKDAY(F677,3)</f>
        <v>46384</v>
      </c>
      <c r="G678" s="85">
        <f t="shared" si="88"/>
        <v>46395</v>
      </c>
      <c r="H678" s="83">
        <v>10</v>
      </c>
      <c r="I678" s="127">
        <v>1</v>
      </c>
    </row>
    <row r="679" spans="1:9">
      <c r="A679" s="83" t="s">
        <v>124</v>
      </c>
      <c r="B679" s="83" t="s">
        <v>10</v>
      </c>
      <c r="C679" s="84"/>
      <c r="D679" s="83" t="s">
        <v>91</v>
      </c>
      <c r="E679" s="83"/>
      <c r="F679" s="85">
        <f>WORKDAY(F677,3)</f>
        <v>46384</v>
      </c>
      <c r="G679" s="85">
        <f t="shared" si="88"/>
        <v>46395</v>
      </c>
      <c r="H679" s="83">
        <v>10</v>
      </c>
      <c r="I679" s="127"/>
    </row>
    <row r="680" spans="1:9">
      <c r="A680" s="83" t="s">
        <v>124</v>
      </c>
      <c r="B680" s="83" t="s">
        <v>10</v>
      </c>
      <c r="C680" s="84"/>
      <c r="D680" s="83" t="s">
        <v>92</v>
      </c>
      <c r="E680" s="83"/>
      <c r="F680" s="85">
        <f>WORKDAY(F677,3)</f>
        <v>46384</v>
      </c>
      <c r="G680" s="85">
        <f t="shared" si="88"/>
        <v>46395</v>
      </c>
      <c r="H680" s="83">
        <v>10</v>
      </c>
      <c r="I680" s="127"/>
    </row>
    <row r="681" spans="1:9">
      <c r="A681" s="83" t="s">
        <v>124</v>
      </c>
      <c r="B681" s="83" t="s">
        <v>10</v>
      </c>
      <c r="C681" s="84"/>
      <c r="D681" s="83" t="s">
        <v>93</v>
      </c>
      <c r="E681" s="83"/>
      <c r="F681" s="85">
        <f>WORKDAY(F677,3)</f>
        <v>46384</v>
      </c>
      <c r="G681" s="85">
        <f t="shared" si="88"/>
        <v>46395</v>
      </c>
      <c r="H681" s="83">
        <v>10</v>
      </c>
      <c r="I681" s="127"/>
    </row>
    <row r="682" spans="1:9">
      <c r="A682" s="83" t="s">
        <v>124</v>
      </c>
      <c r="B682" s="83" t="s">
        <v>10</v>
      </c>
      <c r="C682" s="84"/>
      <c r="D682" s="83" t="s">
        <v>94</v>
      </c>
      <c r="E682" s="83"/>
      <c r="F682" s="85">
        <f>WORKDAY(F677,3)</f>
        <v>46384</v>
      </c>
      <c r="G682" s="85">
        <f t="shared" si="88"/>
        <v>46395</v>
      </c>
      <c r="H682" s="83">
        <v>10</v>
      </c>
      <c r="I682" s="83">
        <v>1</v>
      </c>
    </row>
    <row r="683" spans="1:9">
      <c r="A683" s="86" t="s">
        <v>124</v>
      </c>
      <c r="B683" s="86" t="s">
        <v>10</v>
      </c>
      <c r="C683" s="87"/>
      <c r="D683" s="86" t="s">
        <v>95</v>
      </c>
      <c r="E683" s="86"/>
      <c r="F683" s="88">
        <f>WORKDAY(F682,3)</f>
        <v>46387</v>
      </c>
      <c r="G683" s="88">
        <f t="shared" si="88"/>
        <v>46395</v>
      </c>
      <c r="H683" s="86">
        <v>7</v>
      </c>
      <c r="I683" s="86">
        <v>0</v>
      </c>
    </row>
    <row r="684" spans="1:9">
      <c r="A684" s="89" t="s">
        <v>124</v>
      </c>
      <c r="B684" s="89" t="s">
        <v>10</v>
      </c>
      <c r="C684" s="90"/>
      <c r="D684" s="89" t="s">
        <v>96</v>
      </c>
      <c r="E684" s="89"/>
      <c r="F684" s="91">
        <f>WORKDAY(F683,2)</f>
        <v>46391</v>
      </c>
      <c r="G684" s="91">
        <f t="shared" si="88"/>
        <v>46402</v>
      </c>
      <c r="H684" s="89">
        <v>10</v>
      </c>
      <c r="I684" s="89">
        <v>2</v>
      </c>
    </row>
    <row r="685" spans="1:9">
      <c r="A685" s="89" t="s">
        <v>124</v>
      </c>
      <c r="B685" s="89" t="s">
        <v>10</v>
      </c>
      <c r="C685" s="90"/>
      <c r="D685" s="89" t="s">
        <v>98</v>
      </c>
      <c r="E685" s="89"/>
      <c r="F685" s="91">
        <f>WORKDAY(F683,2)</f>
        <v>46391</v>
      </c>
      <c r="G685" s="91">
        <f t="shared" si="88"/>
        <v>46402</v>
      </c>
      <c r="H685" s="89">
        <v>10</v>
      </c>
      <c r="I685" s="89">
        <v>9</v>
      </c>
    </row>
    <row r="686" spans="1:9">
      <c r="A686" s="89" t="s">
        <v>124</v>
      </c>
      <c r="B686" s="89" t="s">
        <v>10</v>
      </c>
      <c r="C686" s="90"/>
      <c r="D686" s="89" t="s">
        <v>101</v>
      </c>
      <c r="E686" s="89"/>
      <c r="F686" s="91">
        <f>WORKDAY(F683,2)</f>
        <v>46391</v>
      </c>
      <c r="G686" s="91">
        <f t="shared" si="88"/>
        <v>46402</v>
      </c>
      <c r="H686" s="89">
        <v>10</v>
      </c>
      <c r="I686" s="89">
        <v>0</v>
      </c>
    </row>
    <row r="687" spans="1:9">
      <c r="A687" s="38" t="s">
        <v>124</v>
      </c>
      <c r="B687" s="38" t="s">
        <v>10</v>
      </c>
      <c r="C687" s="92"/>
      <c r="D687" s="38" t="s">
        <v>103</v>
      </c>
      <c r="E687" s="38"/>
      <c r="F687" s="93">
        <f>WORKDAY(G685,-4)</f>
        <v>46398</v>
      </c>
      <c r="G687" s="93">
        <f t="shared" si="88"/>
        <v>46400</v>
      </c>
      <c r="H687" s="38">
        <v>3</v>
      </c>
      <c r="I687" s="38">
        <v>0</v>
      </c>
    </row>
    <row r="688" spans="1:9">
      <c r="A688" s="38" t="s">
        <v>124</v>
      </c>
      <c r="B688" s="38" t="s">
        <v>10</v>
      </c>
      <c r="C688" s="92"/>
      <c r="D688" s="38" t="s">
        <v>106</v>
      </c>
      <c r="E688" s="38"/>
      <c r="F688" s="93">
        <f>WORKDAY(G685,-4)</f>
        <v>46398</v>
      </c>
      <c r="G688" s="93">
        <f t="shared" si="88"/>
        <v>46409</v>
      </c>
      <c r="H688" s="38">
        <v>10</v>
      </c>
      <c r="I688" s="38">
        <v>10</v>
      </c>
    </row>
    <row r="689" spans="1:9">
      <c r="A689" s="38" t="s">
        <v>124</v>
      </c>
      <c r="B689" s="38" t="s">
        <v>10</v>
      </c>
      <c r="C689" s="92"/>
      <c r="D689" s="38" t="s">
        <v>108</v>
      </c>
      <c r="E689" s="38"/>
      <c r="F689" s="93">
        <f>WORKDAY(G685,-4)</f>
        <v>46398</v>
      </c>
      <c r="G689" s="93">
        <f t="shared" si="88"/>
        <v>46409</v>
      </c>
      <c r="H689" s="38">
        <v>10</v>
      </c>
      <c r="I689" s="38">
        <v>6</v>
      </c>
    </row>
    <row r="690" spans="1:9">
      <c r="A690" s="94" t="s">
        <v>124</v>
      </c>
      <c r="B690" s="94" t="s">
        <v>10</v>
      </c>
      <c r="C690" s="95"/>
      <c r="D690" s="96" t="s">
        <v>109</v>
      </c>
      <c r="E690" s="96"/>
      <c r="F690" s="97">
        <f>WORKDAY(G685,1)</f>
        <v>46405</v>
      </c>
      <c r="G690" s="97">
        <f t="shared" si="88"/>
        <v>46416</v>
      </c>
      <c r="H690" s="94">
        <v>10</v>
      </c>
      <c r="I690" s="94">
        <v>0</v>
      </c>
    </row>
    <row r="691" spans="1:9">
      <c r="A691" s="94" t="s">
        <v>124</v>
      </c>
      <c r="B691" s="94" t="s">
        <v>10</v>
      </c>
      <c r="C691" s="95"/>
      <c r="D691" s="96" t="s">
        <v>112</v>
      </c>
      <c r="E691" s="96"/>
      <c r="F691" s="97">
        <f>WORKDAY(G685,1)</f>
        <v>46405</v>
      </c>
      <c r="G691" s="97">
        <f t="shared" si="88"/>
        <v>46416</v>
      </c>
      <c r="H691" s="94">
        <v>10</v>
      </c>
      <c r="I691" s="94">
        <v>0</v>
      </c>
    </row>
    <row r="692" spans="1:9">
      <c r="A692" s="77" t="s">
        <v>124</v>
      </c>
      <c r="B692" s="77" t="s">
        <v>10</v>
      </c>
      <c r="C692" s="98"/>
      <c r="D692" s="77" t="s">
        <v>113</v>
      </c>
      <c r="E692" s="77"/>
      <c r="F692" s="44">
        <f>WORKDAY(G690,-4)</f>
        <v>46412</v>
      </c>
      <c r="G692" s="44">
        <f t="shared" si="88"/>
        <v>46416</v>
      </c>
      <c r="H692" s="77">
        <v>5</v>
      </c>
      <c r="I692" s="77">
        <v>1</v>
      </c>
    </row>
    <row r="693" spans="1:9">
      <c r="A693" s="77" t="s">
        <v>124</v>
      </c>
      <c r="B693" s="77" t="s">
        <v>10</v>
      </c>
      <c r="C693" s="98"/>
      <c r="D693" s="77" t="s">
        <v>116</v>
      </c>
      <c r="E693" s="77"/>
      <c r="F693" s="44">
        <f>WORKDAY(G690,-4)</f>
        <v>46412</v>
      </c>
      <c r="G693" s="44">
        <f t="shared" si="88"/>
        <v>46416</v>
      </c>
      <c r="H693" s="77">
        <v>5</v>
      </c>
      <c r="I693" s="77">
        <v>0</v>
      </c>
    </row>
    <row r="694" spans="1:9">
      <c r="A694" s="5" t="s">
        <v>124</v>
      </c>
      <c r="B694" s="99" t="s">
        <v>117</v>
      </c>
      <c r="C694" s="100"/>
      <c r="D694" s="6" t="s">
        <v>11</v>
      </c>
      <c r="E694" s="6"/>
      <c r="F694" s="8">
        <f>WORKDAY(G643,1)</f>
        <v>46258</v>
      </c>
      <c r="G694" s="8">
        <f>WORKDAY(F694,H694-1,)</f>
        <v>46269</v>
      </c>
      <c r="H694" s="6">
        <v>10</v>
      </c>
      <c r="I694" s="6">
        <v>36</v>
      </c>
    </row>
    <row r="695" spans="1:9">
      <c r="A695" s="5" t="s">
        <v>124</v>
      </c>
      <c r="B695" s="99" t="s">
        <v>117</v>
      </c>
      <c r="C695" s="100"/>
      <c r="D695" s="6" t="s">
        <v>13</v>
      </c>
      <c r="E695" s="6"/>
      <c r="F695" s="8">
        <f>WORKDAY(G643,1)</f>
        <v>46258</v>
      </c>
      <c r="G695" s="8">
        <f t="shared" ref="G695" si="90">WORKDAY(F695,H695-1,)</f>
        <v>46269</v>
      </c>
      <c r="H695" s="6">
        <v>10</v>
      </c>
      <c r="I695" s="6">
        <v>1</v>
      </c>
    </row>
    <row r="696" spans="1:9">
      <c r="A696" s="5" t="s">
        <v>124</v>
      </c>
      <c r="B696" s="99" t="s">
        <v>117</v>
      </c>
      <c r="C696" s="100"/>
      <c r="D696" s="6" t="s">
        <v>15</v>
      </c>
      <c r="E696" s="6"/>
      <c r="F696" s="8">
        <f>WORKDAY(G643,1)</f>
        <v>46258</v>
      </c>
      <c r="G696" s="8">
        <f>WORKDAY(F696,H696-1,)</f>
        <v>46269</v>
      </c>
      <c r="H696" s="6">
        <v>10</v>
      </c>
      <c r="I696" s="6">
        <v>1</v>
      </c>
    </row>
    <row r="697" spans="1:9">
      <c r="A697" s="11" t="s">
        <v>124</v>
      </c>
      <c r="B697" s="101" t="s">
        <v>117</v>
      </c>
      <c r="C697" s="102"/>
      <c r="D697" s="11" t="s">
        <v>16</v>
      </c>
      <c r="E697" s="11"/>
      <c r="F697" s="12">
        <f>WORKDAY(G696,-4)</f>
        <v>46265</v>
      </c>
      <c r="G697" s="12">
        <f t="shared" ref="G697:G704" si="91">WORKDAY(F697,H697-1,)</f>
        <v>46276</v>
      </c>
      <c r="H697" s="11">
        <v>10</v>
      </c>
      <c r="I697" s="11">
        <v>5</v>
      </c>
    </row>
    <row r="698" spans="1:9">
      <c r="A698" s="11" t="s">
        <v>124</v>
      </c>
      <c r="B698" s="101" t="s">
        <v>117</v>
      </c>
      <c r="C698" s="102"/>
      <c r="D698" s="11" t="s">
        <v>18</v>
      </c>
      <c r="E698" s="11"/>
      <c r="F698" s="12">
        <f>WORKDAY(G696,-4)</f>
        <v>46265</v>
      </c>
      <c r="G698" s="12">
        <f t="shared" si="91"/>
        <v>46276</v>
      </c>
      <c r="H698" s="11">
        <v>10</v>
      </c>
      <c r="I698" s="13">
        <v>4</v>
      </c>
    </row>
    <row r="699" spans="1:9">
      <c r="A699" s="11" t="s">
        <v>124</v>
      </c>
      <c r="B699" s="101" t="s">
        <v>117</v>
      </c>
      <c r="C699" s="102"/>
      <c r="D699" s="11" t="s">
        <v>21</v>
      </c>
      <c r="E699" s="11"/>
      <c r="F699" s="12">
        <f>WORKDAY(G696,-4)</f>
        <v>46265</v>
      </c>
      <c r="G699" s="12">
        <f t="shared" si="91"/>
        <v>46276</v>
      </c>
      <c r="H699" s="11">
        <v>10</v>
      </c>
      <c r="I699" s="11">
        <v>3</v>
      </c>
    </row>
    <row r="700" spans="1:9">
      <c r="A700" s="11" t="s">
        <v>124</v>
      </c>
      <c r="B700" s="101" t="s">
        <v>117</v>
      </c>
      <c r="C700" s="102"/>
      <c r="D700" s="11" t="s">
        <v>24</v>
      </c>
      <c r="E700" s="11"/>
      <c r="F700" s="12">
        <f>WORKDAY(G696,-4)</f>
        <v>46265</v>
      </c>
      <c r="G700" s="12">
        <f t="shared" si="91"/>
        <v>46276</v>
      </c>
      <c r="H700" s="11">
        <v>10</v>
      </c>
      <c r="I700" s="11">
        <v>0</v>
      </c>
    </row>
    <row r="701" spans="1:9">
      <c r="A701" s="17" t="s">
        <v>124</v>
      </c>
      <c r="B701" s="103" t="s">
        <v>117</v>
      </c>
      <c r="C701" s="104"/>
      <c r="D701" s="17" t="s">
        <v>26</v>
      </c>
      <c r="E701" s="17"/>
      <c r="F701" s="18">
        <f>WORKDAY(G700,-4)</f>
        <v>46272</v>
      </c>
      <c r="G701" s="18">
        <f t="shared" si="91"/>
        <v>46283</v>
      </c>
      <c r="H701" s="17">
        <v>10</v>
      </c>
      <c r="I701" s="17">
        <v>2</v>
      </c>
    </row>
    <row r="702" spans="1:9">
      <c r="A702" s="21" t="s">
        <v>124</v>
      </c>
      <c r="B702" s="21" t="s">
        <v>117</v>
      </c>
      <c r="C702" s="20"/>
      <c r="D702" s="21" t="s">
        <v>29</v>
      </c>
      <c r="E702" s="21"/>
      <c r="F702" s="22">
        <f>WORKDAY(F701,5)</f>
        <v>46279</v>
      </c>
      <c r="G702" s="22">
        <f t="shared" si="91"/>
        <v>46283</v>
      </c>
      <c r="H702" s="21">
        <v>5</v>
      </c>
      <c r="I702" s="21">
        <v>4</v>
      </c>
    </row>
    <row r="703" spans="1:9">
      <c r="A703" s="21" t="s">
        <v>124</v>
      </c>
      <c r="B703" s="21" t="s">
        <v>117</v>
      </c>
      <c r="C703" s="20"/>
      <c r="D703" s="21" t="s">
        <v>32</v>
      </c>
      <c r="E703" s="21"/>
      <c r="F703" s="22">
        <f>WORKDAY(G701,1)</f>
        <v>46286</v>
      </c>
      <c r="G703" s="22">
        <f t="shared" si="91"/>
        <v>46290</v>
      </c>
      <c r="H703" s="21">
        <v>5</v>
      </c>
      <c r="I703" s="21">
        <v>1</v>
      </c>
    </row>
    <row r="704" spans="1:9">
      <c r="A704" s="21" t="s">
        <v>124</v>
      </c>
      <c r="B704" s="21" t="s">
        <v>117</v>
      </c>
      <c r="C704" s="20"/>
      <c r="D704" s="21" t="s">
        <v>34</v>
      </c>
      <c r="E704" s="21"/>
      <c r="F704" s="22">
        <f>WORKDAY(G698,1)</f>
        <v>46279</v>
      </c>
      <c r="G704" s="22">
        <f t="shared" si="91"/>
        <v>46290</v>
      </c>
      <c r="H704" s="21">
        <v>10</v>
      </c>
      <c r="I704" s="21">
        <v>3</v>
      </c>
    </row>
    <row r="705" spans="1:9">
      <c r="A705" s="31" t="s">
        <v>124</v>
      </c>
      <c r="B705" s="31" t="s">
        <v>117</v>
      </c>
      <c r="C705" s="30"/>
      <c r="D705" s="31" t="s">
        <v>37</v>
      </c>
      <c r="E705" s="31"/>
      <c r="F705" s="32">
        <f>WORKDAY(G704,1)</f>
        <v>46293</v>
      </c>
      <c r="G705" s="32">
        <f>WORKDAY(F705,H705-1,)</f>
        <v>46304</v>
      </c>
      <c r="H705" s="31">
        <v>10</v>
      </c>
      <c r="I705" s="128">
        <v>5</v>
      </c>
    </row>
    <row r="706" spans="1:9">
      <c r="A706" s="31" t="s">
        <v>124</v>
      </c>
      <c r="B706" s="31" t="s">
        <v>117</v>
      </c>
      <c r="C706" s="30"/>
      <c r="D706" s="31" t="s">
        <v>40</v>
      </c>
      <c r="E706" s="31"/>
      <c r="F706" s="32">
        <f>WORKDAY(G704,1)</f>
        <v>46293</v>
      </c>
      <c r="G706" s="32">
        <f t="shared" ref="G706:G718" si="92">WORKDAY(F706,H706-1,)</f>
        <v>46304</v>
      </c>
      <c r="H706" s="31">
        <v>10</v>
      </c>
      <c r="I706" s="128"/>
    </row>
    <row r="707" spans="1:9">
      <c r="A707" s="31" t="s">
        <v>124</v>
      </c>
      <c r="B707" s="31" t="s">
        <v>117</v>
      </c>
      <c r="C707" s="30"/>
      <c r="D707" s="31" t="s">
        <v>42</v>
      </c>
      <c r="E707" s="31"/>
      <c r="F707" s="32">
        <f>WORKDAY(G704,1)</f>
        <v>46293</v>
      </c>
      <c r="G707" s="32">
        <f t="shared" si="92"/>
        <v>46304</v>
      </c>
      <c r="H707" s="31">
        <v>10</v>
      </c>
      <c r="I707" s="128"/>
    </row>
    <row r="708" spans="1:9">
      <c r="A708" s="31" t="s">
        <v>124</v>
      </c>
      <c r="B708" s="31" t="s">
        <v>117</v>
      </c>
      <c r="C708" s="30"/>
      <c r="D708" s="31" t="s">
        <v>44</v>
      </c>
      <c r="E708" s="31"/>
      <c r="F708" s="32">
        <f>WORKDAY(G704,1)</f>
        <v>46293</v>
      </c>
      <c r="G708" s="32">
        <f t="shared" si="92"/>
        <v>46304</v>
      </c>
      <c r="H708" s="31">
        <v>10</v>
      </c>
      <c r="I708" s="128"/>
    </row>
    <row r="709" spans="1:9">
      <c r="A709" s="31" t="s">
        <v>124</v>
      </c>
      <c r="B709" s="31" t="s">
        <v>117</v>
      </c>
      <c r="C709" s="30"/>
      <c r="D709" s="31" t="s">
        <v>45</v>
      </c>
      <c r="E709" s="31"/>
      <c r="F709" s="32">
        <f>WORKDAY(G704,1)</f>
        <v>46293</v>
      </c>
      <c r="G709" s="32">
        <f t="shared" si="92"/>
        <v>46304</v>
      </c>
      <c r="H709" s="31">
        <v>10</v>
      </c>
      <c r="I709" s="31">
        <v>5</v>
      </c>
    </row>
    <row r="710" spans="1:9">
      <c r="A710" s="25" t="s">
        <v>124</v>
      </c>
      <c r="B710" s="25" t="s">
        <v>117</v>
      </c>
      <c r="C710" s="105"/>
      <c r="D710" s="26" t="s">
        <v>47</v>
      </c>
      <c r="E710" s="26"/>
      <c r="F710" s="27">
        <f>WORKDAY(G709,-4)</f>
        <v>46300</v>
      </c>
      <c r="G710" s="28">
        <f t="shared" si="92"/>
        <v>46311</v>
      </c>
      <c r="H710" s="26">
        <v>10</v>
      </c>
      <c r="I710" s="26">
        <v>11</v>
      </c>
    </row>
    <row r="711" spans="1:9">
      <c r="A711" s="77" t="s">
        <v>124</v>
      </c>
      <c r="B711" s="77" t="s">
        <v>117</v>
      </c>
      <c r="C711" s="98"/>
      <c r="D711" s="42" t="s">
        <v>50</v>
      </c>
      <c r="E711" s="42"/>
      <c r="F711" s="43">
        <f>WORKDAY(G709,1)</f>
        <v>46307</v>
      </c>
      <c r="G711" s="44">
        <f t="shared" si="92"/>
        <v>46307</v>
      </c>
      <c r="H711" s="42">
        <v>1</v>
      </c>
      <c r="I711" s="42">
        <v>0</v>
      </c>
    </row>
    <row r="712" spans="1:9">
      <c r="A712" s="21" t="s">
        <v>124</v>
      </c>
      <c r="B712" s="21" t="s">
        <v>117</v>
      </c>
      <c r="C712" s="20"/>
      <c r="D712" s="47" t="s">
        <v>52</v>
      </c>
      <c r="E712" s="47"/>
      <c r="F712" s="48">
        <f>WORKDAY(G710,1)</f>
        <v>46314</v>
      </c>
      <c r="G712" s="22">
        <f t="shared" si="92"/>
        <v>46325</v>
      </c>
      <c r="H712" s="47">
        <v>10</v>
      </c>
      <c r="I712" s="47">
        <v>5</v>
      </c>
    </row>
    <row r="713" spans="1:9">
      <c r="A713" s="21" t="s">
        <v>124</v>
      </c>
      <c r="B713" s="21" t="s">
        <v>117</v>
      </c>
      <c r="C713" s="20"/>
      <c r="D713" s="49" t="s">
        <v>55</v>
      </c>
      <c r="E713" s="49"/>
      <c r="F713" s="48">
        <f>WORKDAY(G710,1)</f>
        <v>46314</v>
      </c>
      <c r="G713" s="22">
        <f t="shared" si="92"/>
        <v>46325</v>
      </c>
      <c r="H713" s="47">
        <v>10</v>
      </c>
      <c r="I713" s="47">
        <v>0</v>
      </c>
    </row>
    <row r="714" spans="1:9">
      <c r="A714" s="52" t="s">
        <v>124</v>
      </c>
      <c r="B714" s="52" t="s">
        <v>117</v>
      </c>
      <c r="C714" s="51"/>
      <c r="D714" s="52" t="s">
        <v>56</v>
      </c>
      <c r="E714" s="52"/>
      <c r="F714" s="53">
        <f t="shared" ref="F714" si="93">WORKDAY(G713,1)</f>
        <v>46328</v>
      </c>
      <c r="G714" s="53">
        <f t="shared" si="92"/>
        <v>46339</v>
      </c>
      <c r="H714" s="52">
        <v>10</v>
      </c>
      <c r="I714" s="52">
        <v>7</v>
      </c>
    </row>
    <row r="715" spans="1:9">
      <c r="A715" s="52" t="s">
        <v>124</v>
      </c>
      <c r="B715" s="52" t="s">
        <v>117</v>
      </c>
      <c r="C715" s="51"/>
      <c r="D715" s="52" t="s">
        <v>59</v>
      </c>
      <c r="E715" s="52"/>
      <c r="F715" s="53">
        <f>WORKDAY(G713,1)</f>
        <v>46328</v>
      </c>
      <c r="G715" s="53">
        <f t="shared" si="92"/>
        <v>46328</v>
      </c>
      <c r="H715" s="52">
        <v>1</v>
      </c>
      <c r="I715" s="52">
        <v>5</v>
      </c>
    </row>
    <row r="716" spans="1:9">
      <c r="A716" s="56" t="s">
        <v>124</v>
      </c>
      <c r="B716" s="56" t="s">
        <v>117</v>
      </c>
      <c r="C716" s="55"/>
      <c r="D716" s="56" t="s">
        <v>62</v>
      </c>
      <c r="E716" s="56"/>
      <c r="F716" s="57">
        <f>WORKDAY(G714,-4)</f>
        <v>46335</v>
      </c>
      <c r="G716" s="57">
        <f t="shared" si="92"/>
        <v>46346</v>
      </c>
      <c r="H716" s="56">
        <v>10</v>
      </c>
      <c r="I716" s="56">
        <v>10</v>
      </c>
    </row>
    <row r="717" spans="1:9">
      <c r="A717" s="56" t="s">
        <v>124</v>
      </c>
      <c r="B717" s="56" t="s">
        <v>117</v>
      </c>
      <c r="C717" s="55"/>
      <c r="D717" s="56" t="s">
        <v>64</v>
      </c>
      <c r="E717" s="56"/>
      <c r="F717" s="57">
        <f>WORKDAY(F716,1)</f>
        <v>46336</v>
      </c>
      <c r="G717" s="57">
        <f t="shared" si="92"/>
        <v>46346</v>
      </c>
      <c r="H717" s="56">
        <v>9</v>
      </c>
      <c r="I717" s="56">
        <v>0</v>
      </c>
    </row>
    <row r="718" spans="1:9">
      <c r="A718" s="31" t="s">
        <v>124</v>
      </c>
      <c r="B718" s="31" t="s">
        <v>117</v>
      </c>
      <c r="C718" s="30"/>
      <c r="D718" s="58" t="s">
        <v>65</v>
      </c>
      <c r="E718" s="58"/>
      <c r="F718" s="59">
        <f>WORKDAY(G716,1)</f>
        <v>46349</v>
      </c>
      <c r="G718" s="32">
        <f t="shared" si="92"/>
        <v>46360</v>
      </c>
      <c r="H718" s="58">
        <v>10</v>
      </c>
      <c r="I718" s="58">
        <v>4</v>
      </c>
    </row>
    <row r="719" spans="1:9">
      <c r="A719" s="106" t="s">
        <v>124</v>
      </c>
      <c r="B719" s="107" t="s">
        <v>117</v>
      </c>
      <c r="C719" s="108"/>
      <c r="D719" s="64" t="s">
        <v>68</v>
      </c>
      <c r="E719" s="64"/>
      <c r="F719" s="65">
        <f>WORKDAY(G718,1)</f>
        <v>46363</v>
      </c>
      <c r="G719" s="65">
        <f>WORKDAY(F719,H719-1,)</f>
        <v>46374</v>
      </c>
      <c r="H719" s="64">
        <v>10</v>
      </c>
      <c r="I719" s="130">
        <v>4</v>
      </c>
    </row>
    <row r="720" spans="1:9">
      <c r="A720" s="106" t="s">
        <v>124</v>
      </c>
      <c r="B720" s="107" t="s">
        <v>117</v>
      </c>
      <c r="C720" s="108"/>
      <c r="D720" s="64" t="s">
        <v>71</v>
      </c>
      <c r="E720" s="64"/>
      <c r="F720" s="65">
        <f>WORKDAY(G718,1)</f>
        <v>46363</v>
      </c>
      <c r="G720" s="65">
        <f t="shared" ref="G720:G722" si="94">WORKDAY(F719,H719-1,)</f>
        <v>46374</v>
      </c>
      <c r="H720" s="64">
        <v>10</v>
      </c>
      <c r="I720" s="130"/>
    </row>
    <row r="721" spans="1:9">
      <c r="A721" s="106" t="s">
        <v>124</v>
      </c>
      <c r="B721" s="107" t="s">
        <v>117</v>
      </c>
      <c r="C721" s="108"/>
      <c r="D721" s="64" t="s">
        <v>72</v>
      </c>
      <c r="E721" s="64"/>
      <c r="F721" s="65">
        <f>WORKDAY(G718,1)</f>
        <v>46363</v>
      </c>
      <c r="G721" s="65">
        <f t="shared" si="94"/>
        <v>46374</v>
      </c>
      <c r="H721" s="64">
        <v>10</v>
      </c>
      <c r="I721" s="130"/>
    </row>
    <row r="722" spans="1:9">
      <c r="A722" s="106" t="s">
        <v>124</v>
      </c>
      <c r="B722" s="107" t="s">
        <v>117</v>
      </c>
      <c r="C722" s="108"/>
      <c r="D722" s="64" t="s">
        <v>73</v>
      </c>
      <c r="E722" s="64"/>
      <c r="F722" s="65">
        <f>WORKDAY(G718,1)</f>
        <v>46363</v>
      </c>
      <c r="G722" s="65">
        <f t="shared" si="94"/>
        <v>46374</v>
      </c>
      <c r="H722" s="64">
        <v>10</v>
      </c>
      <c r="I722" s="130"/>
    </row>
    <row r="723" spans="1:9">
      <c r="A723" s="107" t="s">
        <v>124</v>
      </c>
      <c r="B723" s="107" t="s">
        <v>117</v>
      </c>
      <c r="C723" s="108"/>
      <c r="D723" s="64" t="s">
        <v>74</v>
      </c>
      <c r="E723" s="64"/>
      <c r="F723" s="65">
        <f>WORKDAY(G718,1)</f>
        <v>46363</v>
      </c>
      <c r="G723" s="66">
        <f>WORKDAY(F723,H723-1,)</f>
        <v>46374</v>
      </c>
      <c r="H723" s="64">
        <v>10</v>
      </c>
      <c r="I723" s="64">
        <v>6</v>
      </c>
    </row>
    <row r="724" spans="1:9">
      <c r="A724" s="107" t="s">
        <v>124</v>
      </c>
      <c r="B724" s="107" t="s">
        <v>117</v>
      </c>
      <c r="C724" s="108"/>
      <c r="D724" s="64" t="s">
        <v>77</v>
      </c>
      <c r="E724" s="64"/>
      <c r="F724" s="65">
        <f>WORKDAY(G718,1)</f>
        <v>46363</v>
      </c>
      <c r="G724" s="66">
        <f t="shared" ref="G724:G746" si="95">WORKDAY(F724,H724-1,)</f>
        <v>46374</v>
      </c>
      <c r="H724" s="64">
        <v>10</v>
      </c>
      <c r="I724" s="64">
        <v>1</v>
      </c>
    </row>
    <row r="725" spans="1:9">
      <c r="A725" s="107" t="s">
        <v>124</v>
      </c>
      <c r="B725" s="107" t="s">
        <v>117</v>
      </c>
      <c r="C725" s="108"/>
      <c r="D725" s="64" t="s">
        <v>80</v>
      </c>
      <c r="E725" s="64"/>
      <c r="F725" s="65">
        <f>WORKDAY(G718,1)</f>
        <v>46363</v>
      </c>
      <c r="G725" s="66">
        <f t="shared" si="95"/>
        <v>46374</v>
      </c>
      <c r="H725" s="64">
        <v>10</v>
      </c>
      <c r="I725" s="64">
        <v>0</v>
      </c>
    </row>
    <row r="726" spans="1:9">
      <c r="A726" s="107" t="s">
        <v>124</v>
      </c>
      <c r="B726" s="107" t="s">
        <v>117</v>
      </c>
      <c r="C726" s="108"/>
      <c r="D726" s="64" t="s">
        <v>81</v>
      </c>
      <c r="E726" s="64"/>
      <c r="F726" s="65">
        <f>WORKDAY(G718,1)</f>
        <v>46363</v>
      </c>
      <c r="G726" s="66">
        <f t="shared" si="95"/>
        <v>46374</v>
      </c>
      <c r="H726" s="64">
        <v>10</v>
      </c>
      <c r="I726" s="64">
        <v>4</v>
      </c>
    </row>
    <row r="727" spans="1:9">
      <c r="A727" s="70" t="s">
        <v>124</v>
      </c>
      <c r="B727" s="70" t="s">
        <v>117</v>
      </c>
      <c r="C727" s="69"/>
      <c r="D727" s="70" t="s">
        <v>82</v>
      </c>
      <c r="E727" s="70"/>
      <c r="F727" s="71">
        <f t="shared" ref="F727" si="96">WORKDAY(G726,1)</f>
        <v>46377</v>
      </c>
      <c r="G727" s="71">
        <f t="shared" si="95"/>
        <v>46388</v>
      </c>
      <c r="H727" s="70">
        <v>10</v>
      </c>
      <c r="I727" s="70">
        <v>4</v>
      </c>
    </row>
    <row r="728" spans="1:9">
      <c r="A728" s="77" t="s">
        <v>124</v>
      </c>
      <c r="B728" s="77" t="s">
        <v>117</v>
      </c>
      <c r="C728" s="98"/>
      <c r="D728" s="75" t="s">
        <v>85</v>
      </c>
      <c r="E728" s="75"/>
      <c r="F728" s="76">
        <f>WORKDAY(G727,-1)</f>
        <v>46387</v>
      </c>
      <c r="G728" s="44">
        <f t="shared" si="95"/>
        <v>46391</v>
      </c>
      <c r="H728" s="75">
        <v>3</v>
      </c>
      <c r="I728" s="75">
        <v>12</v>
      </c>
    </row>
    <row r="729" spans="1:9">
      <c r="A729" s="77" t="s">
        <v>124</v>
      </c>
      <c r="B729" s="77" t="s">
        <v>117</v>
      </c>
      <c r="C729" s="98"/>
      <c r="D729" s="75" t="s">
        <v>86</v>
      </c>
      <c r="E729" s="75"/>
      <c r="F729" s="76">
        <f>WORKDAY(G727,1)</f>
        <v>46391</v>
      </c>
      <c r="G729" s="44">
        <f t="shared" si="95"/>
        <v>46402</v>
      </c>
      <c r="H729" s="75">
        <v>10</v>
      </c>
      <c r="I729" s="75">
        <v>0</v>
      </c>
    </row>
    <row r="730" spans="1:9">
      <c r="A730" s="78" t="s">
        <v>124</v>
      </c>
      <c r="B730" s="78" t="s">
        <v>117</v>
      </c>
      <c r="C730" s="109"/>
      <c r="D730" s="79" t="s">
        <v>87</v>
      </c>
      <c r="E730" s="79"/>
      <c r="F730" s="81">
        <f>WORKDAY(F728,4)</f>
        <v>46393</v>
      </c>
      <c r="G730" s="82">
        <f t="shared" si="95"/>
        <v>46406</v>
      </c>
      <c r="H730" s="79">
        <v>10</v>
      </c>
      <c r="I730" s="79">
        <v>4</v>
      </c>
    </row>
    <row r="731" spans="1:9">
      <c r="A731" s="83" t="s">
        <v>124</v>
      </c>
      <c r="B731" s="83" t="s">
        <v>117</v>
      </c>
      <c r="C731" s="84"/>
      <c r="D731" s="83" t="s">
        <v>89</v>
      </c>
      <c r="E731" s="83"/>
      <c r="F731" s="85">
        <f>WORKDAY(F730,3)</f>
        <v>46398</v>
      </c>
      <c r="G731" s="85">
        <f t="shared" si="95"/>
        <v>46409</v>
      </c>
      <c r="H731" s="83">
        <v>10</v>
      </c>
      <c r="I731" s="127">
        <v>1</v>
      </c>
    </row>
    <row r="732" spans="1:9">
      <c r="A732" s="83" t="s">
        <v>124</v>
      </c>
      <c r="B732" s="83" t="s">
        <v>117</v>
      </c>
      <c r="C732" s="84"/>
      <c r="D732" s="83" t="s">
        <v>91</v>
      </c>
      <c r="E732" s="83"/>
      <c r="F732" s="85">
        <f>WORKDAY(F730,3)</f>
        <v>46398</v>
      </c>
      <c r="G732" s="85">
        <f t="shared" si="95"/>
        <v>46409</v>
      </c>
      <c r="H732" s="83">
        <v>10</v>
      </c>
      <c r="I732" s="127"/>
    </row>
    <row r="733" spans="1:9">
      <c r="A733" s="83" t="s">
        <v>124</v>
      </c>
      <c r="B733" s="83" t="s">
        <v>117</v>
      </c>
      <c r="C733" s="84"/>
      <c r="D733" s="83" t="s">
        <v>92</v>
      </c>
      <c r="E733" s="83"/>
      <c r="F733" s="85">
        <f>WORKDAY(F730,3)</f>
        <v>46398</v>
      </c>
      <c r="G733" s="85">
        <f t="shared" si="95"/>
        <v>46409</v>
      </c>
      <c r="H733" s="83">
        <v>10</v>
      </c>
      <c r="I733" s="127"/>
    </row>
    <row r="734" spans="1:9">
      <c r="A734" s="83" t="s">
        <v>124</v>
      </c>
      <c r="B734" s="83" t="s">
        <v>117</v>
      </c>
      <c r="C734" s="84"/>
      <c r="D734" s="83" t="s">
        <v>93</v>
      </c>
      <c r="E734" s="83"/>
      <c r="F734" s="85">
        <f>WORKDAY(F730,3)</f>
        <v>46398</v>
      </c>
      <c r="G734" s="85">
        <f t="shared" si="95"/>
        <v>46409</v>
      </c>
      <c r="H734" s="83">
        <v>10</v>
      </c>
      <c r="I734" s="127"/>
    </row>
    <row r="735" spans="1:9">
      <c r="A735" s="83" t="s">
        <v>124</v>
      </c>
      <c r="B735" s="83" t="s">
        <v>117</v>
      </c>
      <c r="C735" s="84"/>
      <c r="D735" s="83" t="s">
        <v>94</v>
      </c>
      <c r="E735" s="83"/>
      <c r="F735" s="85">
        <f>WORKDAY(F730,3)</f>
        <v>46398</v>
      </c>
      <c r="G735" s="85">
        <f t="shared" si="95"/>
        <v>46409</v>
      </c>
      <c r="H735" s="83">
        <v>10</v>
      </c>
      <c r="I735" s="83">
        <v>1</v>
      </c>
    </row>
    <row r="736" spans="1:9">
      <c r="A736" s="86" t="s">
        <v>124</v>
      </c>
      <c r="B736" s="86" t="s">
        <v>117</v>
      </c>
      <c r="C736" s="87"/>
      <c r="D736" s="86" t="s">
        <v>95</v>
      </c>
      <c r="E736" s="86"/>
      <c r="F736" s="88">
        <f>WORKDAY(F735,3)</f>
        <v>46401</v>
      </c>
      <c r="G736" s="88">
        <f t="shared" si="95"/>
        <v>46409</v>
      </c>
      <c r="H736" s="86">
        <v>7</v>
      </c>
      <c r="I736" s="86">
        <v>0</v>
      </c>
    </row>
    <row r="737" spans="1:9">
      <c r="A737" s="89" t="s">
        <v>124</v>
      </c>
      <c r="B737" s="89" t="s">
        <v>117</v>
      </c>
      <c r="C737" s="90"/>
      <c r="D737" s="89" t="s">
        <v>96</v>
      </c>
      <c r="E737" s="89"/>
      <c r="F737" s="91">
        <f>WORKDAY(F736,2)</f>
        <v>46405</v>
      </c>
      <c r="G737" s="91">
        <f t="shared" si="95"/>
        <v>46416</v>
      </c>
      <c r="H737" s="89">
        <v>10</v>
      </c>
      <c r="I737" s="89">
        <v>2</v>
      </c>
    </row>
    <row r="738" spans="1:9">
      <c r="A738" s="89" t="s">
        <v>124</v>
      </c>
      <c r="B738" s="89" t="s">
        <v>117</v>
      </c>
      <c r="C738" s="90"/>
      <c r="D738" s="89" t="s">
        <v>98</v>
      </c>
      <c r="E738" s="89"/>
      <c r="F738" s="91">
        <f>WORKDAY(F736,2)</f>
        <v>46405</v>
      </c>
      <c r="G738" s="91">
        <f t="shared" si="95"/>
        <v>46416</v>
      </c>
      <c r="H738" s="89">
        <v>10</v>
      </c>
      <c r="I738" s="89">
        <v>9</v>
      </c>
    </row>
    <row r="739" spans="1:9">
      <c r="A739" s="89" t="s">
        <v>124</v>
      </c>
      <c r="B739" s="89" t="s">
        <v>117</v>
      </c>
      <c r="C739" s="90"/>
      <c r="D739" s="89" t="s">
        <v>101</v>
      </c>
      <c r="E739" s="89"/>
      <c r="F739" s="91">
        <f>WORKDAY(F736,2)</f>
        <v>46405</v>
      </c>
      <c r="G739" s="91">
        <f t="shared" si="95"/>
        <v>46416</v>
      </c>
      <c r="H739" s="89">
        <v>10</v>
      </c>
      <c r="I739" s="89">
        <v>0</v>
      </c>
    </row>
    <row r="740" spans="1:9">
      <c r="A740" s="38" t="s">
        <v>124</v>
      </c>
      <c r="B740" s="38" t="s">
        <v>117</v>
      </c>
      <c r="C740" s="92"/>
      <c r="D740" s="38" t="s">
        <v>103</v>
      </c>
      <c r="E740" s="38"/>
      <c r="F740" s="93">
        <f>WORKDAY(G738,-4)</f>
        <v>46412</v>
      </c>
      <c r="G740" s="93">
        <f t="shared" si="95"/>
        <v>46414</v>
      </c>
      <c r="H740" s="38">
        <v>3</v>
      </c>
      <c r="I740" s="38">
        <v>0</v>
      </c>
    </row>
    <row r="741" spans="1:9">
      <c r="A741" s="38" t="s">
        <v>124</v>
      </c>
      <c r="B741" s="38" t="s">
        <v>117</v>
      </c>
      <c r="C741" s="92"/>
      <c r="D741" s="38" t="s">
        <v>106</v>
      </c>
      <c r="E741" s="38"/>
      <c r="F741" s="93">
        <f>WORKDAY(G738,-4)</f>
        <v>46412</v>
      </c>
      <c r="G741" s="93">
        <f t="shared" si="95"/>
        <v>46423</v>
      </c>
      <c r="H741" s="38">
        <v>10</v>
      </c>
      <c r="I741" s="38">
        <v>10</v>
      </c>
    </row>
    <row r="742" spans="1:9">
      <c r="A742" s="38" t="s">
        <v>124</v>
      </c>
      <c r="B742" s="38" t="s">
        <v>117</v>
      </c>
      <c r="C742" s="92"/>
      <c r="D742" s="38" t="s">
        <v>108</v>
      </c>
      <c r="E742" s="38"/>
      <c r="F742" s="93">
        <f>WORKDAY(G738,-4)</f>
        <v>46412</v>
      </c>
      <c r="G742" s="93">
        <f t="shared" si="95"/>
        <v>46423</v>
      </c>
      <c r="H742" s="38">
        <v>10</v>
      </c>
      <c r="I742" s="38">
        <v>6</v>
      </c>
    </row>
    <row r="743" spans="1:9">
      <c r="A743" s="94" t="s">
        <v>124</v>
      </c>
      <c r="B743" s="94" t="s">
        <v>117</v>
      </c>
      <c r="C743" s="95"/>
      <c r="D743" s="96" t="s">
        <v>109</v>
      </c>
      <c r="E743" s="96"/>
      <c r="F743" s="97">
        <f>WORKDAY(G738,1)</f>
        <v>46419</v>
      </c>
      <c r="G743" s="97">
        <f t="shared" si="95"/>
        <v>46430</v>
      </c>
      <c r="H743" s="94">
        <v>10</v>
      </c>
      <c r="I743" s="94">
        <v>0</v>
      </c>
    </row>
    <row r="744" spans="1:9">
      <c r="A744" s="94" t="s">
        <v>124</v>
      </c>
      <c r="B744" s="94" t="s">
        <v>117</v>
      </c>
      <c r="C744" s="95"/>
      <c r="D744" s="96" t="s">
        <v>112</v>
      </c>
      <c r="E744" s="96"/>
      <c r="F744" s="97">
        <f>WORKDAY(G738,1)</f>
        <v>46419</v>
      </c>
      <c r="G744" s="97">
        <f t="shared" si="95"/>
        <v>46430</v>
      </c>
      <c r="H744" s="94">
        <v>10</v>
      </c>
      <c r="I744" s="94">
        <v>0</v>
      </c>
    </row>
    <row r="745" spans="1:9">
      <c r="A745" s="77" t="s">
        <v>124</v>
      </c>
      <c r="B745" s="77" t="s">
        <v>117</v>
      </c>
      <c r="C745" s="98"/>
      <c r="D745" s="77" t="s">
        <v>113</v>
      </c>
      <c r="E745" s="77"/>
      <c r="F745" s="44">
        <f>WORKDAY(G743,-4)</f>
        <v>46426</v>
      </c>
      <c r="G745" s="44">
        <f t="shared" si="95"/>
        <v>46430</v>
      </c>
      <c r="H745" s="77">
        <v>5</v>
      </c>
      <c r="I745" s="77">
        <v>1</v>
      </c>
    </row>
    <row r="746" spans="1:9">
      <c r="A746" s="77" t="s">
        <v>124</v>
      </c>
      <c r="B746" s="77" t="s">
        <v>117</v>
      </c>
      <c r="C746" s="98"/>
      <c r="D746" s="77" t="s">
        <v>116</v>
      </c>
      <c r="E746" s="77"/>
      <c r="F746" s="44">
        <f>WORKDAY(G743,-4)</f>
        <v>46426</v>
      </c>
      <c r="G746" s="44">
        <f t="shared" si="95"/>
        <v>46430</v>
      </c>
      <c r="H746" s="77">
        <v>5</v>
      </c>
      <c r="I746" s="77">
        <v>0</v>
      </c>
    </row>
    <row r="747" spans="1:9">
      <c r="A747" s="5" t="s">
        <v>124</v>
      </c>
      <c r="B747" s="99" t="s">
        <v>118</v>
      </c>
      <c r="C747" s="100"/>
      <c r="D747" s="6" t="s">
        <v>11</v>
      </c>
      <c r="E747" s="6"/>
      <c r="F747" s="8">
        <f>WORKDAY(G696,1)</f>
        <v>46272</v>
      </c>
      <c r="G747" s="8">
        <f>WORKDAY(F747,H747-1,)</f>
        <v>46283</v>
      </c>
      <c r="H747" s="6">
        <v>10</v>
      </c>
      <c r="I747" s="6">
        <v>36</v>
      </c>
    </row>
    <row r="748" spans="1:9">
      <c r="A748" s="5" t="s">
        <v>124</v>
      </c>
      <c r="B748" s="99" t="s">
        <v>118</v>
      </c>
      <c r="C748" s="100"/>
      <c r="D748" s="6" t="s">
        <v>13</v>
      </c>
      <c r="E748" s="6"/>
      <c r="F748" s="8">
        <f>WORKDAY(G696,1)</f>
        <v>46272</v>
      </c>
      <c r="G748" s="8">
        <f t="shared" ref="G748" si="97">WORKDAY(F748,H748-1,)</f>
        <v>46283</v>
      </c>
      <c r="H748" s="6">
        <v>10</v>
      </c>
      <c r="I748" s="6">
        <v>1</v>
      </c>
    </row>
    <row r="749" spans="1:9">
      <c r="A749" s="5" t="s">
        <v>124</v>
      </c>
      <c r="B749" s="99" t="s">
        <v>118</v>
      </c>
      <c r="C749" s="100"/>
      <c r="D749" s="6" t="s">
        <v>15</v>
      </c>
      <c r="E749" s="6"/>
      <c r="F749" s="8">
        <f>WORKDAY(G696,1)</f>
        <v>46272</v>
      </c>
      <c r="G749" s="8">
        <f>WORKDAY(F749,H749-1,)</f>
        <v>46283</v>
      </c>
      <c r="H749" s="6">
        <v>10</v>
      </c>
      <c r="I749" s="6">
        <v>1</v>
      </c>
    </row>
    <row r="750" spans="1:9">
      <c r="A750" s="11" t="s">
        <v>124</v>
      </c>
      <c r="B750" s="101" t="s">
        <v>118</v>
      </c>
      <c r="C750" s="102"/>
      <c r="D750" s="11" t="s">
        <v>16</v>
      </c>
      <c r="E750" s="11"/>
      <c r="F750" s="12">
        <f>WORKDAY(G749,-4)</f>
        <v>46279</v>
      </c>
      <c r="G750" s="12">
        <f t="shared" ref="G750:G757" si="98">WORKDAY(F750,H750-1,)</f>
        <v>46290</v>
      </c>
      <c r="H750" s="11">
        <v>10</v>
      </c>
      <c r="I750" s="11">
        <v>5</v>
      </c>
    </row>
    <row r="751" spans="1:9">
      <c r="A751" s="11" t="s">
        <v>124</v>
      </c>
      <c r="B751" s="101" t="s">
        <v>118</v>
      </c>
      <c r="C751" s="102"/>
      <c r="D751" s="11" t="s">
        <v>18</v>
      </c>
      <c r="E751" s="11"/>
      <c r="F751" s="12">
        <f>WORKDAY(G749,-4)</f>
        <v>46279</v>
      </c>
      <c r="G751" s="12">
        <f t="shared" si="98"/>
        <v>46290</v>
      </c>
      <c r="H751" s="11">
        <v>10</v>
      </c>
      <c r="I751" s="13">
        <v>4</v>
      </c>
    </row>
    <row r="752" spans="1:9">
      <c r="A752" s="11" t="s">
        <v>124</v>
      </c>
      <c r="B752" s="101" t="s">
        <v>118</v>
      </c>
      <c r="C752" s="102"/>
      <c r="D752" s="11" t="s">
        <v>21</v>
      </c>
      <c r="E752" s="11"/>
      <c r="F752" s="12">
        <f>WORKDAY(G749,-4)</f>
        <v>46279</v>
      </c>
      <c r="G752" s="12">
        <f t="shared" si="98"/>
        <v>46290</v>
      </c>
      <c r="H752" s="11">
        <v>10</v>
      </c>
      <c r="I752" s="11">
        <v>3</v>
      </c>
    </row>
    <row r="753" spans="1:9">
      <c r="A753" s="11" t="s">
        <v>124</v>
      </c>
      <c r="B753" s="101" t="s">
        <v>118</v>
      </c>
      <c r="C753" s="102"/>
      <c r="D753" s="11" t="s">
        <v>24</v>
      </c>
      <c r="E753" s="11"/>
      <c r="F753" s="12">
        <f>WORKDAY(G749,-4)</f>
        <v>46279</v>
      </c>
      <c r="G753" s="12">
        <f t="shared" si="98"/>
        <v>46290</v>
      </c>
      <c r="H753" s="11">
        <v>10</v>
      </c>
      <c r="I753" s="11">
        <v>0</v>
      </c>
    </row>
    <row r="754" spans="1:9">
      <c r="A754" s="17" t="s">
        <v>124</v>
      </c>
      <c r="B754" s="103" t="s">
        <v>118</v>
      </c>
      <c r="C754" s="104"/>
      <c r="D754" s="17" t="s">
        <v>26</v>
      </c>
      <c r="E754" s="17"/>
      <c r="F754" s="18">
        <f>WORKDAY(G753,-4)</f>
        <v>46286</v>
      </c>
      <c r="G754" s="18">
        <f t="shared" si="98"/>
        <v>46297</v>
      </c>
      <c r="H754" s="17">
        <v>10</v>
      </c>
      <c r="I754" s="17">
        <v>2</v>
      </c>
    </row>
    <row r="755" spans="1:9">
      <c r="A755" s="21" t="s">
        <v>124</v>
      </c>
      <c r="B755" s="21" t="s">
        <v>118</v>
      </c>
      <c r="C755" s="20"/>
      <c r="D755" s="21" t="s">
        <v>29</v>
      </c>
      <c r="E755" s="21"/>
      <c r="F755" s="22">
        <f>WORKDAY(F754,5)</f>
        <v>46293</v>
      </c>
      <c r="G755" s="22">
        <f t="shared" si="98"/>
        <v>46297</v>
      </c>
      <c r="H755" s="21">
        <v>5</v>
      </c>
      <c r="I755" s="21">
        <v>4</v>
      </c>
    </row>
    <row r="756" spans="1:9">
      <c r="A756" s="21" t="s">
        <v>124</v>
      </c>
      <c r="B756" s="21" t="s">
        <v>118</v>
      </c>
      <c r="C756" s="20"/>
      <c r="D756" s="21" t="s">
        <v>32</v>
      </c>
      <c r="E756" s="21"/>
      <c r="F756" s="22">
        <f>WORKDAY(G754,1)</f>
        <v>46300</v>
      </c>
      <c r="G756" s="22">
        <f t="shared" si="98"/>
        <v>46304</v>
      </c>
      <c r="H756" s="21">
        <v>5</v>
      </c>
      <c r="I756" s="21">
        <v>1</v>
      </c>
    </row>
    <row r="757" spans="1:9">
      <c r="A757" s="21" t="s">
        <v>124</v>
      </c>
      <c r="B757" s="21" t="s">
        <v>118</v>
      </c>
      <c r="C757" s="20"/>
      <c r="D757" s="21" t="s">
        <v>34</v>
      </c>
      <c r="E757" s="21"/>
      <c r="F757" s="22">
        <f>WORKDAY(G751,1)</f>
        <v>46293</v>
      </c>
      <c r="G757" s="22">
        <f t="shared" si="98"/>
        <v>46304</v>
      </c>
      <c r="H757" s="21">
        <v>10</v>
      </c>
      <c r="I757" s="21">
        <v>3</v>
      </c>
    </row>
    <row r="758" spans="1:9">
      <c r="A758" s="31" t="s">
        <v>124</v>
      </c>
      <c r="B758" s="31" t="s">
        <v>118</v>
      </c>
      <c r="C758" s="30"/>
      <c r="D758" s="31" t="s">
        <v>37</v>
      </c>
      <c r="E758" s="31"/>
      <c r="F758" s="32">
        <f>WORKDAY(G757,1)</f>
        <v>46307</v>
      </c>
      <c r="G758" s="32">
        <f>WORKDAY(F758,H758-1,)</f>
        <v>46318</v>
      </c>
      <c r="H758" s="31">
        <v>10</v>
      </c>
      <c r="I758" s="128">
        <v>5</v>
      </c>
    </row>
    <row r="759" spans="1:9">
      <c r="A759" s="31" t="s">
        <v>124</v>
      </c>
      <c r="B759" s="31" t="s">
        <v>118</v>
      </c>
      <c r="C759" s="30"/>
      <c r="D759" s="31" t="s">
        <v>40</v>
      </c>
      <c r="E759" s="31"/>
      <c r="F759" s="32">
        <f>WORKDAY(G757,1)</f>
        <v>46307</v>
      </c>
      <c r="G759" s="32">
        <f t="shared" ref="G759:G771" si="99">WORKDAY(F759,H759-1,)</f>
        <v>46318</v>
      </c>
      <c r="H759" s="31">
        <v>10</v>
      </c>
      <c r="I759" s="128"/>
    </row>
    <row r="760" spans="1:9">
      <c r="A760" s="31" t="s">
        <v>124</v>
      </c>
      <c r="B760" s="31" t="s">
        <v>118</v>
      </c>
      <c r="C760" s="30"/>
      <c r="D760" s="31" t="s">
        <v>42</v>
      </c>
      <c r="E760" s="31"/>
      <c r="F760" s="32">
        <f>WORKDAY(G757,1)</f>
        <v>46307</v>
      </c>
      <c r="G760" s="32">
        <f t="shared" si="99"/>
        <v>46318</v>
      </c>
      <c r="H760" s="31">
        <v>10</v>
      </c>
      <c r="I760" s="128"/>
    </row>
    <row r="761" spans="1:9">
      <c r="A761" s="31" t="s">
        <v>124</v>
      </c>
      <c r="B761" s="31" t="s">
        <v>118</v>
      </c>
      <c r="C761" s="30"/>
      <c r="D761" s="31" t="s">
        <v>44</v>
      </c>
      <c r="E761" s="31"/>
      <c r="F761" s="32">
        <f>WORKDAY(G757,1)</f>
        <v>46307</v>
      </c>
      <c r="G761" s="32">
        <f t="shared" si="99"/>
        <v>46318</v>
      </c>
      <c r="H761" s="31">
        <v>10</v>
      </c>
      <c r="I761" s="128"/>
    </row>
    <row r="762" spans="1:9">
      <c r="A762" s="31" t="s">
        <v>124</v>
      </c>
      <c r="B762" s="31" t="s">
        <v>118</v>
      </c>
      <c r="C762" s="30"/>
      <c r="D762" s="31" t="s">
        <v>45</v>
      </c>
      <c r="E762" s="31"/>
      <c r="F762" s="32">
        <f>WORKDAY(G757,1)</f>
        <v>46307</v>
      </c>
      <c r="G762" s="32">
        <f t="shared" si="99"/>
        <v>46318</v>
      </c>
      <c r="H762" s="31">
        <v>10</v>
      </c>
      <c r="I762" s="31">
        <v>5</v>
      </c>
    </row>
    <row r="763" spans="1:9">
      <c r="A763" s="25" t="s">
        <v>124</v>
      </c>
      <c r="B763" s="25" t="s">
        <v>118</v>
      </c>
      <c r="C763" s="105"/>
      <c r="D763" s="26" t="s">
        <v>47</v>
      </c>
      <c r="E763" s="26"/>
      <c r="F763" s="27">
        <f>WORKDAY(G762,-4)</f>
        <v>46314</v>
      </c>
      <c r="G763" s="28">
        <f t="shared" si="99"/>
        <v>46325</v>
      </c>
      <c r="H763" s="26">
        <v>10</v>
      </c>
      <c r="I763" s="26">
        <v>11</v>
      </c>
    </row>
    <row r="764" spans="1:9">
      <c r="A764" s="77" t="s">
        <v>124</v>
      </c>
      <c r="B764" s="77" t="s">
        <v>118</v>
      </c>
      <c r="C764" s="98"/>
      <c r="D764" s="42" t="s">
        <v>50</v>
      </c>
      <c r="E764" s="42"/>
      <c r="F764" s="43">
        <f>WORKDAY(G762,1)</f>
        <v>46321</v>
      </c>
      <c r="G764" s="44">
        <f t="shared" si="99"/>
        <v>46321</v>
      </c>
      <c r="H764" s="42">
        <v>1</v>
      </c>
      <c r="I764" s="42">
        <v>0</v>
      </c>
    </row>
    <row r="765" spans="1:9">
      <c r="A765" s="21" t="s">
        <v>124</v>
      </c>
      <c r="B765" s="21" t="s">
        <v>118</v>
      </c>
      <c r="C765" s="20"/>
      <c r="D765" s="47" t="s">
        <v>52</v>
      </c>
      <c r="E765" s="47"/>
      <c r="F765" s="48">
        <f>WORKDAY(G763,1)</f>
        <v>46328</v>
      </c>
      <c r="G765" s="22">
        <f t="shared" si="99"/>
        <v>46339</v>
      </c>
      <c r="H765" s="47">
        <v>10</v>
      </c>
      <c r="I765" s="47">
        <v>5</v>
      </c>
    </row>
    <row r="766" spans="1:9">
      <c r="A766" s="21" t="s">
        <v>124</v>
      </c>
      <c r="B766" s="21" t="s">
        <v>118</v>
      </c>
      <c r="C766" s="20"/>
      <c r="D766" s="49" t="s">
        <v>55</v>
      </c>
      <c r="E766" s="49"/>
      <c r="F766" s="48">
        <f>WORKDAY(G763,1)</f>
        <v>46328</v>
      </c>
      <c r="G766" s="22">
        <f t="shared" si="99"/>
        <v>46339</v>
      </c>
      <c r="H766" s="47">
        <v>10</v>
      </c>
      <c r="I766" s="47">
        <v>0</v>
      </c>
    </row>
    <row r="767" spans="1:9">
      <c r="A767" s="52" t="s">
        <v>124</v>
      </c>
      <c r="B767" s="110" t="s">
        <v>118</v>
      </c>
      <c r="C767" s="111"/>
      <c r="D767" s="52" t="s">
        <v>56</v>
      </c>
      <c r="E767" s="52"/>
      <c r="F767" s="53">
        <f t="shared" ref="F767" si="100">WORKDAY(G766,1)</f>
        <v>46342</v>
      </c>
      <c r="G767" s="53">
        <f t="shared" si="99"/>
        <v>46353</v>
      </c>
      <c r="H767" s="52">
        <v>10</v>
      </c>
      <c r="I767" s="52">
        <v>7</v>
      </c>
    </row>
    <row r="768" spans="1:9">
      <c r="A768" s="52" t="s">
        <v>124</v>
      </c>
      <c r="B768" s="110" t="s">
        <v>118</v>
      </c>
      <c r="C768" s="111"/>
      <c r="D768" s="52" t="s">
        <v>59</v>
      </c>
      <c r="E768" s="52"/>
      <c r="F768" s="53">
        <f>WORKDAY(G766,1)</f>
        <v>46342</v>
      </c>
      <c r="G768" s="53">
        <f t="shared" si="99"/>
        <v>46342</v>
      </c>
      <c r="H768" s="52">
        <v>1</v>
      </c>
      <c r="I768" s="52">
        <v>5</v>
      </c>
    </row>
    <row r="769" spans="1:9">
      <c r="A769" s="56" t="s">
        <v>124</v>
      </c>
      <c r="B769" s="112" t="s">
        <v>118</v>
      </c>
      <c r="C769" s="113"/>
      <c r="D769" s="56" t="s">
        <v>62</v>
      </c>
      <c r="E769" s="56"/>
      <c r="F769" s="57">
        <f>WORKDAY(G767,-4)</f>
        <v>46349</v>
      </c>
      <c r="G769" s="57">
        <f t="shared" si="99"/>
        <v>46360</v>
      </c>
      <c r="H769" s="56">
        <v>10</v>
      </c>
      <c r="I769" s="56">
        <v>10</v>
      </c>
    </row>
    <row r="770" spans="1:9">
      <c r="A770" s="56" t="s">
        <v>124</v>
      </c>
      <c r="B770" s="112" t="s">
        <v>118</v>
      </c>
      <c r="C770" s="113"/>
      <c r="D770" s="56" t="s">
        <v>64</v>
      </c>
      <c r="E770" s="56"/>
      <c r="F770" s="57">
        <f>WORKDAY(F769,1)</f>
        <v>46350</v>
      </c>
      <c r="G770" s="57">
        <f t="shared" si="99"/>
        <v>46360</v>
      </c>
      <c r="H770" s="56">
        <v>9</v>
      </c>
      <c r="I770" s="56">
        <v>0</v>
      </c>
    </row>
    <row r="771" spans="1:9">
      <c r="A771" s="31" t="s">
        <v>124</v>
      </c>
      <c r="B771" s="31" t="s">
        <v>118</v>
      </c>
      <c r="C771" s="30"/>
      <c r="D771" s="58" t="s">
        <v>65</v>
      </c>
      <c r="E771" s="58"/>
      <c r="F771" s="59">
        <f>WORKDAY(G769,1)</f>
        <v>46363</v>
      </c>
      <c r="G771" s="32">
        <f t="shared" si="99"/>
        <v>46374</v>
      </c>
      <c r="H771" s="58">
        <v>10</v>
      </c>
      <c r="I771" s="58">
        <v>4</v>
      </c>
    </row>
    <row r="772" spans="1:9">
      <c r="A772" s="106" t="s">
        <v>124</v>
      </c>
      <c r="B772" s="107" t="s">
        <v>118</v>
      </c>
      <c r="C772" s="108"/>
      <c r="D772" s="64" t="s">
        <v>68</v>
      </c>
      <c r="E772" s="64"/>
      <c r="F772" s="65">
        <f>WORKDAY(G771,1)</f>
        <v>46377</v>
      </c>
      <c r="G772" s="65">
        <f>WORKDAY(F772,H772-1,)</f>
        <v>46388</v>
      </c>
      <c r="H772" s="64">
        <v>10</v>
      </c>
      <c r="I772" s="130">
        <v>4</v>
      </c>
    </row>
    <row r="773" spans="1:9">
      <c r="A773" s="106" t="s">
        <v>124</v>
      </c>
      <c r="B773" s="107" t="s">
        <v>118</v>
      </c>
      <c r="C773" s="108"/>
      <c r="D773" s="64" t="s">
        <v>71</v>
      </c>
      <c r="E773" s="64"/>
      <c r="F773" s="65">
        <f>WORKDAY(G771,1)</f>
        <v>46377</v>
      </c>
      <c r="G773" s="65">
        <f t="shared" ref="G773:G775" si="101">WORKDAY(F772,H772-1,)</f>
        <v>46388</v>
      </c>
      <c r="H773" s="64">
        <v>10</v>
      </c>
      <c r="I773" s="130"/>
    </row>
    <row r="774" spans="1:9">
      <c r="A774" s="106" t="s">
        <v>124</v>
      </c>
      <c r="B774" s="107" t="s">
        <v>118</v>
      </c>
      <c r="C774" s="108"/>
      <c r="D774" s="64" t="s">
        <v>72</v>
      </c>
      <c r="E774" s="64"/>
      <c r="F774" s="65">
        <f>WORKDAY(G771,1)</f>
        <v>46377</v>
      </c>
      <c r="G774" s="65">
        <f t="shared" si="101"/>
        <v>46388</v>
      </c>
      <c r="H774" s="64">
        <v>10</v>
      </c>
      <c r="I774" s="130"/>
    </row>
    <row r="775" spans="1:9">
      <c r="A775" s="106" t="s">
        <v>124</v>
      </c>
      <c r="B775" s="107" t="s">
        <v>118</v>
      </c>
      <c r="C775" s="108"/>
      <c r="D775" s="64" t="s">
        <v>73</v>
      </c>
      <c r="E775" s="64"/>
      <c r="F775" s="65">
        <f>WORKDAY(G771,1)</f>
        <v>46377</v>
      </c>
      <c r="G775" s="65">
        <f t="shared" si="101"/>
        <v>46388</v>
      </c>
      <c r="H775" s="64">
        <v>10</v>
      </c>
      <c r="I775" s="130"/>
    </row>
    <row r="776" spans="1:9">
      <c r="A776" s="107" t="s">
        <v>124</v>
      </c>
      <c r="B776" s="107" t="s">
        <v>118</v>
      </c>
      <c r="C776" s="108"/>
      <c r="D776" s="64" t="s">
        <v>74</v>
      </c>
      <c r="E776" s="64"/>
      <c r="F776" s="65">
        <f>WORKDAY(G771,1)</f>
        <v>46377</v>
      </c>
      <c r="G776" s="66">
        <f>WORKDAY(F776,H776-1,)</f>
        <v>46388</v>
      </c>
      <c r="H776" s="64">
        <v>10</v>
      </c>
      <c r="I776" s="64">
        <v>6</v>
      </c>
    </row>
    <row r="777" spans="1:9">
      <c r="A777" s="107" t="s">
        <v>124</v>
      </c>
      <c r="B777" s="107" t="s">
        <v>118</v>
      </c>
      <c r="C777" s="108"/>
      <c r="D777" s="64" t="s">
        <v>77</v>
      </c>
      <c r="E777" s="64"/>
      <c r="F777" s="65">
        <f>WORKDAY(G771,1)</f>
        <v>46377</v>
      </c>
      <c r="G777" s="66">
        <f t="shared" ref="G777:G799" si="102">WORKDAY(F777,H777-1,)</f>
        <v>46388</v>
      </c>
      <c r="H777" s="64">
        <v>10</v>
      </c>
      <c r="I777" s="64">
        <v>1</v>
      </c>
    </row>
    <row r="778" spans="1:9">
      <c r="A778" s="107" t="s">
        <v>124</v>
      </c>
      <c r="B778" s="107" t="s">
        <v>118</v>
      </c>
      <c r="C778" s="108"/>
      <c r="D778" s="64" t="s">
        <v>80</v>
      </c>
      <c r="E778" s="64"/>
      <c r="F778" s="65">
        <f>WORKDAY(G771,1)</f>
        <v>46377</v>
      </c>
      <c r="G778" s="66">
        <f t="shared" si="102"/>
        <v>46388</v>
      </c>
      <c r="H778" s="64">
        <v>10</v>
      </c>
      <c r="I778" s="64">
        <v>0</v>
      </c>
    </row>
    <row r="779" spans="1:9">
      <c r="A779" s="107" t="s">
        <v>124</v>
      </c>
      <c r="B779" s="107" t="s">
        <v>118</v>
      </c>
      <c r="C779" s="108"/>
      <c r="D779" s="64" t="s">
        <v>81</v>
      </c>
      <c r="E779" s="64"/>
      <c r="F779" s="65">
        <f>WORKDAY(G771,1)</f>
        <v>46377</v>
      </c>
      <c r="G779" s="66">
        <f t="shared" si="102"/>
        <v>46388</v>
      </c>
      <c r="H779" s="64">
        <v>10</v>
      </c>
      <c r="I779" s="64">
        <v>4</v>
      </c>
    </row>
    <row r="780" spans="1:9">
      <c r="A780" s="70" t="s">
        <v>124</v>
      </c>
      <c r="B780" s="70" t="s">
        <v>118</v>
      </c>
      <c r="C780" s="69"/>
      <c r="D780" s="70" t="s">
        <v>82</v>
      </c>
      <c r="E780" s="70"/>
      <c r="F780" s="71">
        <f t="shared" ref="F780" si="103">WORKDAY(G779,1)</f>
        <v>46391</v>
      </c>
      <c r="G780" s="71">
        <f t="shared" si="102"/>
        <v>46402</v>
      </c>
      <c r="H780" s="70">
        <v>10</v>
      </c>
      <c r="I780" s="70">
        <v>4</v>
      </c>
    </row>
    <row r="781" spans="1:9">
      <c r="A781" s="77" t="s">
        <v>124</v>
      </c>
      <c r="B781" s="77" t="s">
        <v>118</v>
      </c>
      <c r="C781" s="98"/>
      <c r="D781" s="75" t="s">
        <v>85</v>
      </c>
      <c r="E781" s="75"/>
      <c r="F781" s="76">
        <f>WORKDAY(G780,-1)</f>
        <v>46401</v>
      </c>
      <c r="G781" s="44">
        <f t="shared" si="102"/>
        <v>46405</v>
      </c>
      <c r="H781" s="75">
        <v>3</v>
      </c>
      <c r="I781" s="75">
        <v>12</v>
      </c>
    </row>
    <row r="782" spans="1:9">
      <c r="A782" s="77" t="s">
        <v>124</v>
      </c>
      <c r="B782" s="77" t="s">
        <v>118</v>
      </c>
      <c r="C782" s="98"/>
      <c r="D782" s="75" t="s">
        <v>86</v>
      </c>
      <c r="E782" s="75"/>
      <c r="F782" s="76">
        <f>WORKDAY(G780,1)</f>
        <v>46405</v>
      </c>
      <c r="G782" s="44">
        <f t="shared" si="102"/>
        <v>46416</v>
      </c>
      <c r="H782" s="75">
        <v>10</v>
      </c>
      <c r="I782" s="75">
        <v>0</v>
      </c>
    </row>
    <row r="783" spans="1:9">
      <c r="A783" s="122" t="s">
        <v>124</v>
      </c>
      <c r="B783" s="78" t="s">
        <v>118</v>
      </c>
      <c r="C783" s="109"/>
      <c r="D783" s="79" t="s">
        <v>87</v>
      </c>
      <c r="E783" s="79"/>
      <c r="F783" s="81">
        <f>WORKDAY(F781,4)</f>
        <v>46407</v>
      </c>
      <c r="G783" s="82">
        <f t="shared" si="102"/>
        <v>46420</v>
      </c>
      <c r="H783" s="79">
        <v>10</v>
      </c>
      <c r="I783" s="79">
        <v>4</v>
      </c>
    </row>
    <row r="784" spans="1:9">
      <c r="A784" s="83" t="s">
        <v>124</v>
      </c>
      <c r="B784" s="114" t="s">
        <v>118</v>
      </c>
      <c r="C784" s="115"/>
      <c r="D784" s="83" t="s">
        <v>89</v>
      </c>
      <c r="E784" s="83"/>
      <c r="F784" s="85">
        <f>WORKDAY(F783,3)</f>
        <v>46412</v>
      </c>
      <c r="G784" s="85">
        <f t="shared" si="102"/>
        <v>46423</v>
      </c>
      <c r="H784" s="83">
        <v>10</v>
      </c>
      <c r="I784" s="127">
        <v>1</v>
      </c>
    </row>
    <row r="785" spans="1:9">
      <c r="A785" s="83" t="s">
        <v>124</v>
      </c>
      <c r="B785" s="114" t="s">
        <v>118</v>
      </c>
      <c r="C785" s="115"/>
      <c r="D785" s="83" t="s">
        <v>91</v>
      </c>
      <c r="E785" s="83"/>
      <c r="F785" s="85">
        <f>WORKDAY(F783,3)</f>
        <v>46412</v>
      </c>
      <c r="G785" s="85">
        <f t="shared" si="102"/>
        <v>46423</v>
      </c>
      <c r="H785" s="83">
        <v>10</v>
      </c>
      <c r="I785" s="127"/>
    </row>
    <row r="786" spans="1:9">
      <c r="A786" s="83" t="s">
        <v>124</v>
      </c>
      <c r="B786" s="114" t="s">
        <v>118</v>
      </c>
      <c r="C786" s="115"/>
      <c r="D786" s="83" t="s">
        <v>92</v>
      </c>
      <c r="E786" s="83"/>
      <c r="F786" s="85">
        <f>WORKDAY(F783,3)</f>
        <v>46412</v>
      </c>
      <c r="G786" s="85">
        <f t="shared" si="102"/>
        <v>46423</v>
      </c>
      <c r="H786" s="83">
        <v>10</v>
      </c>
      <c r="I786" s="127"/>
    </row>
    <row r="787" spans="1:9">
      <c r="A787" s="83" t="s">
        <v>124</v>
      </c>
      <c r="B787" s="114" t="s">
        <v>118</v>
      </c>
      <c r="C787" s="115"/>
      <c r="D787" s="83" t="s">
        <v>93</v>
      </c>
      <c r="E787" s="83"/>
      <c r="F787" s="85">
        <f>WORKDAY(F783,3)</f>
        <v>46412</v>
      </c>
      <c r="G787" s="85">
        <f t="shared" si="102"/>
        <v>46423</v>
      </c>
      <c r="H787" s="83">
        <v>10</v>
      </c>
      <c r="I787" s="127"/>
    </row>
    <row r="788" spans="1:9">
      <c r="A788" s="83" t="s">
        <v>124</v>
      </c>
      <c r="B788" s="114" t="s">
        <v>118</v>
      </c>
      <c r="C788" s="115"/>
      <c r="D788" s="83" t="s">
        <v>94</v>
      </c>
      <c r="E788" s="83"/>
      <c r="F788" s="85">
        <f>WORKDAY(F783,3)</f>
        <v>46412</v>
      </c>
      <c r="G788" s="85">
        <f t="shared" si="102"/>
        <v>46423</v>
      </c>
      <c r="H788" s="83">
        <v>10</v>
      </c>
      <c r="I788" s="83">
        <v>1</v>
      </c>
    </row>
    <row r="789" spans="1:9">
      <c r="A789" s="86" t="s">
        <v>124</v>
      </c>
      <c r="B789" s="116" t="s">
        <v>118</v>
      </c>
      <c r="C789" s="117"/>
      <c r="D789" s="86" t="s">
        <v>95</v>
      </c>
      <c r="E789" s="86"/>
      <c r="F789" s="88">
        <f>WORKDAY(F788,3)</f>
        <v>46415</v>
      </c>
      <c r="G789" s="88">
        <f t="shared" si="102"/>
        <v>46423</v>
      </c>
      <c r="H789" s="86">
        <v>7</v>
      </c>
      <c r="I789" s="86">
        <v>0</v>
      </c>
    </row>
    <row r="790" spans="1:9">
      <c r="A790" s="89" t="s">
        <v>124</v>
      </c>
      <c r="B790" s="89" t="s">
        <v>118</v>
      </c>
      <c r="C790" s="90"/>
      <c r="D790" s="89" t="s">
        <v>96</v>
      </c>
      <c r="E790" s="89"/>
      <c r="F790" s="91">
        <f>WORKDAY(F789,2)</f>
        <v>46419</v>
      </c>
      <c r="G790" s="91">
        <f t="shared" si="102"/>
        <v>46430</v>
      </c>
      <c r="H790" s="89">
        <v>10</v>
      </c>
      <c r="I790" s="89">
        <v>2</v>
      </c>
    </row>
    <row r="791" spans="1:9">
      <c r="A791" s="89" t="s">
        <v>124</v>
      </c>
      <c r="B791" s="89" t="s">
        <v>118</v>
      </c>
      <c r="C791" s="90"/>
      <c r="D791" s="89" t="s">
        <v>98</v>
      </c>
      <c r="E791" s="89"/>
      <c r="F791" s="91">
        <f>WORKDAY(F789,2)</f>
        <v>46419</v>
      </c>
      <c r="G791" s="91">
        <f t="shared" si="102"/>
        <v>46430</v>
      </c>
      <c r="H791" s="89">
        <v>10</v>
      </c>
      <c r="I791" s="89">
        <v>9</v>
      </c>
    </row>
    <row r="792" spans="1:9">
      <c r="A792" s="89" t="s">
        <v>124</v>
      </c>
      <c r="B792" s="89" t="s">
        <v>118</v>
      </c>
      <c r="C792" s="90"/>
      <c r="D792" s="89" t="s">
        <v>101</v>
      </c>
      <c r="E792" s="89"/>
      <c r="F792" s="91">
        <f>WORKDAY(F789,2)</f>
        <v>46419</v>
      </c>
      <c r="G792" s="91">
        <f t="shared" si="102"/>
        <v>46430</v>
      </c>
      <c r="H792" s="89">
        <v>10</v>
      </c>
      <c r="I792" s="89">
        <v>0</v>
      </c>
    </row>
    <row r="793" spans="1:9">
      <c r="A793" s="38" t="s">
        <v>124</v>
      </c>
      <c r="B793" s="38" t="s">
        <v>118</v>
      </c>
      <c r="C793" s="92"/>
      <c r="D793" s="38" t="s">
        <v>103</v>
      </c>
      <c r="E793" s="38"/>
      <c r="F793" s="93">
        <f>WORKDAY(G791,-4)</f>
        <v>46426</v>
      </c>
      <c r="G793" s="93">
        <f t="shared" si="102"/>
        <v>46428</v>
      </c>
      <c r="H793" s="38">
        <v>3</v>
      </c>
      <c r="I793" s="38">
        <v>0</v>
      </c>
    </row>
    <row r="794" spans="1:9">
      <c r="A794" s="38" t="s">
        <v>124</v>
      </c>
      <c r="B794" s="38" t="s">
        <v>118</v>
      </c>
      <c r="C794" s="92"/>
      <c r="D794" s="38" t="s">
        <v>106</v>
      </c>
      <c r="E794" s="38"/>
      <c r="F794" s="93">
        <f>WORKDAY(G791,-4)</f>
        <v>46426</v>
      </c>
      <c r="G794" s="93">
        <f t="shared" si="102"/>
        <v>46437</v>
      </c>
      <c r="H794" s="38">
        <v>10</v>
      </c>
      <c r="I794" s="38">
        <v>10</v>
      </c>
    </row>
    <row r="795" spans="1:9">
      <c r="A795" s="38" t="s">
        <v>124</v>
      </c>
      <c r="B795" s="38" t="s">
        <v>118</v>
      </c>
      <c r="C795" s="92"/>
      <c r="D795" s="38" t="s">
        <v>108</v>
      </c>
      <c r="E795" s="38"/>
      <c r="F795" s="93">
        <f>WORKDAY(G791,-4)</f>
        <v>46426</v>
      </c>
      <c r="G795" s="93">
        <f t="shared" si="102"/>
        <v>46437</v>
      </c>
      <c r="H795" s="38">
        <v>10</v>
      </c>
      <c r="I795" s="38">
        <v>6</v>
      </c>
    </row>
    <row r="796" spans="1:9">
      <c r="A796" s="94" t="s">
        <v>124</v>
      </c>
      <c r="B796" s="94" t="s">
        <v>118</v>
      </c>
      <c r="C796" s="95"/>
      <c r="D796" s="96" t="s">
        <v>109</v>
      </c>
      <c r="E796" s="96"/>
      <c r="F796" s="97">
        <f>WORKDAY(G791,1)</f>
        <v>46433</v>
      </c>
      <c r="G796" s="97">
        <f t="shared" si="102"/>
        <v>46444</v>
      </c>
      <c r="H796" s="94">
        <v>10</v>
      </c>
      <c r="I796" s="94">
        <v>0</v>
      </c>
    </row>
    <row r="797" spans="1:9">
      <c r="A797" s="94" t="s">
        <v>124</v>
      </c>
      <c r="B797" s="94" t="s">
        <v>118</v>
      </c>
      <c r="C797" s="95"/>
      <c r="D797" s="96" t="s">
        <v>112</v>
      </c>
      <c r="E797" s="96"/>
      <c r="F797" s="97">
        <f>WORKDAY(G791,1)</f>
        <v>46433</v>
      </c>
      <c r="G797" s="97">
        <f t="shared" si="102"/>
        <v>46444</v>
      </c>
      <c r="H797" s="94">
        <v>10</v>
      </c>
      <c r="I797" s="94">
        <v>0</v>
      </c>
    </row>
    <row r="798" spans="1:9">
      <c r="A798" s="77" t="s">
        <v>124</v>
      </c>
      <c r="B798" s="77" t="s">
        <v>118</v>
      </c>
      <c r="C798" s="98"/>
      <c r="D798" s="77" t="s">
        <v>113</v>
      </c>
      <c r="E798" s="77"/>
      <c r="F798" s="44">
        <f>WORKDAY(G796,-4)</f>
        <v>46440</v>
      </c>
      <c r="G798" s="44">
        <f t="shared" si="102"/>
        <v>46444</v>
      </c>
      <c r="H798" s="77">
        <v>5</v>
      </c>
      <c r="I798" s="77">
        <v>1</v>
      </c>
    </row>
    <row r="799" spans="1:9">
      <c r="A799" s="77" t="s">
        <v>124</v>
      </c>
      <c r="B799" s="77" t="s">
        <v>118</v>
      </c>
      <c r="C799" s="98"/>
      <c r="D799" s="77" t="s">
        <v>116</v>
      </c>
      <c r="E799" s="77"/>
      <c r="F799" s="44">
        <f>WORKDAY(G796,-4)</f>
        <v>46440</v>
      </c>
      <c r="G799" s="44">
        <f t="shared" si="102"/>
        <v>46444</v>
      </c>
      <c r="H799" s="77">
        <v>5</v>
      </c>
      <c r="I799" s="77">
        <v>0</v>
      </c>
    </row>
    <row r="800" spans="1:9">
      <c r="A800" s="5" t="s">
        <v>124</v>
      </c>
      <c r="B800" s="99" t="s">
        <v>119</v>
      </c>
      <c r="C800" s="100"/>
      <c r="D800" s="6" t="s">
        <v>11</v>
      </c>
      <c r="E800" s="6"/>
      <c r="F800" s="8">
        <f>WORKDAY(G749,1)</f>
        <v>46286</v>
      </c>
      <c r="G800" s="8">
        <f>WORKDAY(F800,H800-1,)</f>
        <v>46297</v>
      </c>
      <c r="H800" s="6">
        <v>10</v>
      </c>
      <c r="I800" s="6">
        <v>0</v>
      </c>
    </row>
    <row r="801" spans="1:9">
      <c r="A801" s="5" t="s">
        <v>124</v>
      </c>
      <c r="B801" s="99" t="s">
        <v>119</v>
      </c>
      <c r="C801" s="100"/>
      <c r="D801" s="6" t="s">
        <v>13</v>
      </c>
      <c r="E801" s="6"/>
      <c r="F801" s="8">
        <f>WORKDAY(G749,1)</f>
        <v>46286</v>
      </c>
      <c r="G801" s="8">
        <f t="shared" ref="G801" si="104">WORKDAY(F801,H801-1,)</f>
        <v>46297</v>
      </c>
      <c r="H801" s="6">
        <v>10</v>
      </c>
      <c r="I801" s="6">
        <v>0</v>
      </c>
    </row>
    <row r="802" spans="1:9">
      <c r="A802" s="5" t="s">
        <v>124</v>
      </c>
      <c r="B802" s="99" t="s">
        <v>119</v>
      </c>
      <c r="C802" s="100"/>
      <c r="D802" s="6" t="s">
        <v>15</v>
      </c>
      <c r="E802" s="6"/>
      <c r="F802" s="8">
        <f>WORKDAY(G748,1)</f>
        <v>46286</v>
      </c>
      <c r="G802" s="8">
        <f>WORKDAY(F802,H802-1,)</f>
        <v>46297</v>
      </c>
      <c r="H802" s="6">
        <v>10</v>
      </c>
      <c r="I802" s="6">
        <v>0</v>
      </c>
    </row>
    <row r="803" spans="1:9">
      <c r="A803" s="5" t="s">
        <v>124</v>
      </c>
      <c r="B803" s="99" t="s">
        <v>119</v>
      </c>
      <c r="C803" s="100"/>
      <c r="D803" s="6" t="s">
        <v>120</v>
      </c>
      <c r="E803" s="6"/>
      <c r="F803" s="8">
        <f>WORKDAY(G749,1)</f>
        <v>46286</v>
      </c>
      <c r="G803" s="8">
        <f>WORKDAY(F803,H803-1,)</f>
        <v>46297</v>
      </c>
      <c r="H803" s="6">
        <v>10</v>
      </c>
      <c r="I803" s="6">
        <v>0</v>
      </c>
    </row>
    <row r="804" spans="1:9">
      <c r="A804" s="11" t="s">
        <v>124</v>
      </c>
      <c r="B804" s="101" t="s">
        <v>119</v>
      </c>
      <c r="C804" s="102"/>
      <c r="D804" s="11" t="s">
        <v>16</v>
      </c>
      <c r="E804" s="11"/>
      <c r="F804" s="12">
        <f>WORKDAY(G803,-4)</f>
        <v>46293</v>
      </c>
      <c r="G804" s="12">
        <f t="shared" ref="G804:G811" si="105">WORKDAY(F804,H804-1,)</f>
        <v>46304</v>
      </c>
      <c r="H804" s="11">
        <v>10</v>
      </c>
      <c r="I804" s="11">
        <v>0</v>
      </c>
    </row>
    <row r="805" spans="1:9">
      <c r="A805" s="11" t="s">
        <v>124</v>
      </c>
      <c r="B805" s="101" t="s">
        <v>119</v>
      </c>
      <c r="C805" s="102"/>
      <c r="D805" s="11" t="s">
        <v>18</v>
      </c>
      <c r="E805" s="11"/>
      <c r="F805" s="12">
        <f>WORKDAY(G803,-4)</f>
        <v>46293</v>
      </c>
      <c r="G805" s="12">
        <f t="shared" si="105"/>
        <v>46304</v>
      </c>
      <c r="H805" s="11">
        <v>10</v>
      </c>
      <c r="I805" s="13">
        <v>0</v>
      </c>
    </row>
    <row r="806" spans="1:9">
      <c r="A806" s="11" t="s">
        <v>124</v>
      </c>
      <c r="B806" s="101" t="s">
        <v>119</v>
      </c>
      <c r="C806" s="102"/>
      <c r="D806" s="11" t="s">
        <v>21</v>
      </c>
      <c r="E806" s="11"/>
      <c r="F806" s="12">
        <f>WORKDAY(G803,-4)</f>
        <v>46293</v>
      </c>
      <c r="G806" s="12">
        <f t="shared" si="105"/>
        <v>46304</v>
      </c>
      <c r="H806" s="11">
        <v>10</v>
      </c>
      <c r="I806" s="11">
        <v>3</v>
      </c>
    </row>
    <row r="807" spans="1:9">
      <c r="A807" s="11" t="s">
        <v>124</v>
      </c>
      <c r="B807" s="101" t="s">
        <v>119</v>
      </c>
      <c r="C807" s="102"/>
      <c r="D807" s="11" t="s">
        <v>24</v>
      </c>
      <c r="E807" s="11"/>
      <c r="F807" s="12">
        <f>WORKDAY(G803,-4)</f>
        <v>46293</v>
      </c>
      <c r="G807" s="12">
        <f t="shared" si="105"/>
        <v>46304</v>
      </c>
      <c r="H807" s="11">
        <v>10</v>
      </c>
      <c r="I807" s="11">
        <v>0</v>
      </c>
    </row>
    <row r="808" spans="1:9">
      <c r="A808" s="17" t="s">
        <v>124</v>
      </c>
      <c r="B808" s="103" t="s">
        <v>119</v>
      </c>
      <c r="C808" s="104"/>
      <c r="D808" s="17" t="s">
        <v>26</v>
      </c>
      <c r="E808" s="17"/>
      <c r="F808" s="18">
        <f>WORKDAY(G807,-4)</f>
        <v>46300</v>
      </c>
      <c r="G808" s="18">
        <f t="shared" si="105"/>
        <v>46311</v>
      </c>
      <c r="H808" s="17">
        <v>10</v>
      </c>
      <c r="I808" s="17">
        <v>2</v>
      </c>
    </row>
    <row r="809" spans="1:9">
      <c r="A809" s="21" t="s">
        <v>124</v>
      </c>
      <c r="B809" s="21" t="s">
        <v>119</v>
      </c>
      <c r="C809" s="20"/>
      <c r="D809" s="21" t="s">
        <v>29</v>
      </c>
      <c r="E809" s="21"/>
      <c r="F809" s="22">
        <f>WORKDAY(F808,5)</f>
        <v>46307</v>
      </c>
      <c r="G809" s="22">
        <f t="shared" si="105"/>
        <v>46311</v>
      </c>
      <c r="H809" s="21">
        <v>5</v>
      </c>
      <c r="I809" s="21">
        <v>4</v>
      </c>
    </row>
    <row r="810" spans="1:9">
      <c r="A810" s="21" t="s">
        <v>124</v>
      </c>
      <c r="B810" s="21" t="s">
        <v>119</v>
      </c>
      <c r="C810" s="20"/>
      <c r="D810" s="21" t="s">
        <v>32</v>
      </c>
      <c r="E810" s="21"/>
      <c r="F810" s="22">
        <f>WORKDAY(G808,1)</f>
        <v>46314</v>
      </c>
      <c r="G810" s="22">
        <f t="shared" si="105"/>
        <v>46318</v>
      </c>
      <c r="H810" s="21">
        <v>5</v>
      </c>
      <c r="I810" s="21">
        <v>0</v>
      </c>
    </row>
    <row r="811" spans="1:9">
      <c r="A811" s="21" t="s">
        <v>124</v>
      </c>
      <c r="B811" s="21" t="s">
        <v>119</v>
      </c>
      <c r="C811" s="20"/>
      <c r="D811" s="21" t="s">
        <v>34</v>
      </c>
      <c r="E811" s="21"/>
      <c r="F811" s="22">
        <f>WORKDAY(G805,1)</f>
        <v>46307</v>
      </c>
      <c r="G811" s="22">
        <f t="shared" si="105"/>
        <v>46318</v>
      </c>
      <c r="H811" s="21">
        <v>10</v>
      </c>
      <c r="I811" s="21">
        <v>1</v>
      </c>
    </row>
    <row r="812" spans="1:9">
      <c r="A812" s="31" t="s">
        <v>124</v>
      </c>
      <c r="B812" s="31" t="s">
        <v>119</v>
      </c>
      <c r="C812" s="30"/>
      <c r="D812" s="31" t="s">
        <v>37</v>
      </c>
      <c r="E812" s="31"/>
      <c r="F812" s="32">
        <f>WORKDAY(G811,1)</f>
        <v>46321</v>
      </c>
      <c r="G812" s="32">
        <f>WORKDAY(F812,H812-1,)</f>
        <v>46332</v>
      </c>
      <c r="H812" s="31">
        <v>10</v>
      </c>
      <c r="I812" s="128">
        <v>2</v>
      </c>
    </row>
    <row r="813" spans="1:9">
      <c r="A813" s="31" t="s">
        <v>124</v>
      </c>
      <c r="B813" s="31" t="s">
        <v>119</v>
      </c>
      <c r="C813" s="30"/>
      <c r="D813" s="31" t="s">
        <v>40</v>
      </c>
      <c r="E813" s="31"/>
      <c r="F813" s="32">
        <f>WORKDAY(G811,1)</f>
        <v>46321</v>
      </c>
      <c r="G813" s="32">
        <f t="shared" ref="G813:G825" si="106">WORKDAY(F813,H813-1,)</f>
        <v>46332</v>
      </c>
      <c r="H813" s="31">
        <v>10</v>
      </c>
      <c r="I813" s="128"/>
    </row>
    <row r="814" spans="1:9">
      <c r="A814" s="31" t="s">
        <v>124</v>
      </c>
      <c r="B814" s="31" t="s">
        <v>119</v>
      </c>
      <c r="C814" s="30"/>
      <c r="D814" s="31" t="s">
        <v>42</v>
      </c>
      <c r="E814" s="31"/>
      <c r="F814" s="32">
        <f>WORKDAY(G811,1)</f>
        <v>46321</v>
      </c>
      <c r="G814" s="32">
        <f t="shared" si="106"/>
        <v>46332</v>
      </c>
      <c r="H814" s="31">
        <v>10</v>
      </c>
      <c r="I814" s="128"/>
    </row>
    <row r="815" spans="1:9">
      <c r="A815" s="31" t="s">
        <v>124</v>
      </c>
      <c r="B815" s="31" t="s">
        <v>119</v>
      </c>
      <c r="C815" s="30"/>
      <c r="D815" s="31" t="s">
        <v>44</v>
      </c>
      <c r="E815" s="31"/>
      <c r="F815" s="32">
        <f>WORKDAY(G811,1)</f>
        <v>46321</v>
      </c>
      <c r="G815" s="32">
        <f t="shared" si="106"/>
        <v>46332</v>
      </c>
      <c r="H815" s="31">
        <v>10</v>
      </c>
      <c r="I815" s="128"/>
    </row>
    <row r="816" spans="1:9">
      <c r="A816" s="31" t="s">
        <v>124</v>
      </c>
      <c r="B816" s="31" t="s">
        <v>119</v>
      </c>
      <c r="C816" s="30"/>
      <c r="D816" s="31" t="s">
        <v>45</v>
      </c>
      <c r="E816" s="31"/>
      <c r="F816" s="32">
        <f>WORKDAY(G811,1)</f>
        <v>46321</v>
      </c>
      <c r="G816" s="32">
        <f t="shared" si="106"/>
        <v>46332</v>
      </c>
      <c r="H816" s="31">
        <v>10</v>
      </c>
      <c r="I816" s="31">
        <v>5</v>
      </c>
    </row>
    <row r="817" spans="1:9">
      <c r="A817" s="25" t="s">
        <v>124</v>
      </c>
      <c r="B817" s="25" t="s">
        <v>119</v>
      </c>
      <c r="C817" s="105"/>
      <c r="D817" s="26" t="s">
        <v>47</v>
      </c>
      <c r="E817" s="26"/>
      <c r="F817" s="27">
        <f>WORKDAY(G816,-4)</f>
        <v>46328</v>
      </c>
      <c r="G817" s="28">
        <f t="shared" si="106"/>
        <v>46339</v>
      </c>
      <c r="H817" s="26">
        <v>10</v>
      </c>
      <c r="I817" s="26">
        <v>8</v>
      </c>
    </row>
    <row r="818" spans="1:9">
      <c r="A818" s="77" t="s">
        <v>124</v>
      </c>
      <c r="B818" s="77" t="s">
        <v>119</v>
      </c>
      <c r="C818" s="98"/>
      <c r="D818" s="42" t="s">
        <v>50</v>
      </c>
      <c r="E818" s="42"/>
      <c r="F818" s="43">
        <f>WORKDAY(G816,1)</f>
        <v>46335</v>
      </c>
      <c r="G818" s="44">
        <f t="shared" si="106"/>
        <v>46335</v>
      </c>
      <c r="H818" s="42">
        <v>1</v>
      </c>
      <c r="I818" s="42">
        <v>0</v>
      </c>
    </row>
    <row r="819" spans="1:9">
      <c r="A819" s="21" t="s">
        <v>124</v>
      </c>
      <c r="B819" s="21" t="s">
        <v>119</v>
      </c>
      <c r="C819" s="20"/>
      <c r="D819" s="47" t="s">
        <v>52</v>
      </c>
      <c r="E819" s="47"/>
      <c r="F819" s="48">
        <f>WORKDAY(G817,1)</f>
        <v>46342</v>
      </c>
      <c r="G819" s="22">
        <f t="shared" si="106"/>
        <v>46353</v>
      </c>
      <c r="H819" s="47">
        <v>10</v>
      </c>
      <c r="I819" s="47">
        <v>5</v>
      </c>
    </row>
    <row r="820" spans="1:9">
      <c r="A820" s="21" t="s">
        <v>124</v>
      </c>
      <c r="B820" s="21" t="s">
        <v>119</v>
      </c>
      <c r="C820" s="20"/>
      <c r="D820" s="49" t="s">
        <v>55</v>
      </c>
      <c r="E820" s="49"/>
      <c r="F820" s="48">
        <f>WORKDAY(G817,1)</f>
        <v>46342</v>
      </c>
      <c r="G820" s="22">
        <f t="shared" si="106"/>
        <v>46353</v>
      </c>
      <c r="H820" s="47">
        <v>10</v>
      </c>
      <c r="I820" s="47">
        <v>0</v>
      </c>
    </row>
    <row r="821" spans="1:9">
      <c r="A821" s="52" t="s">
        <v>124</v>
      </c>
      <c r="B821" s="110" t="s">
        <v>119</v>
      </c>
      <c r="C821" s="111"/>
      <c r="D821" s="52" t="s">
        <v>56</v>
      </c>
      <c r="E821" s="52"/>
      <c r="F821" s="53">
        <f t="shared" ref="F821" si="107">WORKDAY(G820,1)</f>
        <v>46356</v>
      </c>
      <c r="G821" s="53">
        <f t="shared" si="106"/>
        <v>46367</v>
      </c>
      <c r="H821" s="52">
        <v>10</v>
      </c>
      <c r="I821" s="52">
        <v>4</v>
      </c>
    </row>
    <row r="822" spans="1:9">
      <c r="A822" s="52" t="s">
        <v>124</v>
      </c>
      <c r="B822" s="110" t="s">
        <v>119</v>
      </c>
      <c r="C822" s="111"/>
      <c r="D822" s="52" t="s">
        <v>59</v>
      </c>
      <c r="E822" s="52"/>
      <c r="F822" s="53">
        <f>WORKDAY(G820,1)</f>
        <v>46356</v>
      </c>
      <c r="G822" s="53">
        <f t="shared" si="106"/>
        <v>46356</v>
      </c>
      <c r="H822" s="52">
        <v>1</v>
      </c>
      <c r="I822" s="52">
        <v>0</v>
      </c>
    </row>
    <row r="823" spans="1:9">
      <c r="A823" s="56" t="s">
        <v>124</v>
      </c>
      <c r="B823" s="112" t="s">
        <v>119</v>
      </c>
      <c r="C823" s="113"/>
      <c r="D823" s="56" t="s">
        <v>62</v>
      </c>
      <c r="E823" s="56"/>
      <c r="F823" s="57">
        <f>WORKDAY(G821,-4)</f>
        <v>46363</v>
      </c>
      <c r="G823" s="57">
        <f t="shared" si="106"/>
        <v>46374</v>
      </c>
      <c r="H823" s="56">
        <v>10</v>
      </c>
      <c r="I823" s="56">
        <v>0</v>
      </c>
    </row>
    <row r="824" spans="1:9">
      <c r="A824" s="56" t="s">
        <v>124</v>
      </c>
      <c r="B824" s="112" t="s">
        <v>119</v>
      </c>
      <c r="C824" s="113"/>
      <c r="D824" s="56" t="s">
        <v>64</v>
      </c>
      <c r="E824" s="56"/>
      <c r="F824" s="57">
        <f>WORKDAY(F823,1)</f>
        <v>46364</v>
      </c>
      <c r="G824" s="57">
        <f t="shared" si="106"/>
        <v>46374</v>
      </c>
      <c r="H824" s="56">
        <v>9</v>
      </c>
      <c r="I824" s="56">
        <v>0</v>
      </c>
    </row>
    <row r="825" spans="1:9">
      <c r="A825" s="31" t="s">
        <v>124</v>
      </c>
      <c r="B825" s="31" t="s">
        <v>119</v>
      </c>
      <c r="C825" s="30"/>
      <c r="D825" s="58" t="s">
        <v>65</v>
      </c>
      <c r="E825" s="58"/>
      <c r="F825" s="59">
        <f>WORKDAY(G823,1)</f>
        <v>46377</v>
      </c>
      <c r="G825" s="32">
        <f t="shared" si="106"/>
        <v>46388</v>
      </c>
      <c r="H825" s="58">
        <v>10</v>
      </c>
      <c r="I825" s="58">
        <v>2</v>
      </c>
    </row>
    <row r="826" spans="1:9">
      <c r="A826" s="106" t="s">
        <v>124</v>
      </c>
      <c r="B826" s="107" t="s">
        <v>119</v>
      </c>
      <c r="C826" s="108"/>
      <c r="D826" s="64" t="s">
        <v>68</v>
      </c>
      <c r="E826" s="64"/>
      <c r="F826" s="65">
        <f>WORKDAY(G825,1)</f>
        <v>46391</v>
      </c>
      <c r="G826" s="65">
        <f>WORKDAY(F826,H826-1,)</f>
        <v>46402</v>
      </c>
      <c r="H826" s="64">
        <v>10</v>
      </c>
      <c r="I826" s="129">
        <v>2</v>
      </c>
    </row>
    <row r="827" spans="1:9">
      <c r="A827" s="106" t="s">
        <v>124</v>
      </c>
      <c r="B827" s="107" t="s">
        <v>119</v>
      </c>
      <c r="C827" s="108"/>
      <c r="D827" s="64" t="s">
        <v>71</v>
      </c>
      <c r="E827" s="64"/>
      <c r="F827" s="65">
        <f>WORKDAY(G825,1)</f>
        <v>46391</v>
      </c>
      <c r="G827" s="65">
        <f t="shared" ref="G827:G829" si="108">WORKDAY(F826,H826-1,)</f>
        <v>46402</v>
      </c>
      <c r="H827" s="64">
        <v>10</v>
      </c>
      <c r="I827" s="129"/>
    </row>
    <row r="828" spans="1:9">
      <c r="A828" s="106" t="s">
        <v>124</v>
      </c>
      <c r="B828" s="107" t="s">
        <v>119</v>
      </c>
      <c r="C828" s="108"/>
      <c r="D828" s="64" t="s">
        <v>72</v>
      </c>
      <c r="E828" s="64"/>
      <c r="F828" s="65">
        <f>WORKDAY(G825,1)</f>
        <v>46391</v>
      </c>
      <c r="G828" s="65">
        <f t="shared" si="108"/>
        <v>46402</v>
      </c>
      <c r="H828" s="64">
        <v>10</v>
      </c>
      <c r="I828" s="129"/>
    </row>
    <row r="829" spans="1:9">
      <c r="A829" s="106" t="s">
        <v>124</v>
      </c>
      <c r="B829" s="107" t="s">
        <v>119</v>
      </c>
      <c r="C829" s="108"/>
      <c r="D829" s="64" t="s">
        <v>73</v>
      </c>
      <c r="E829" s="64"/>
      <c r="F829" s="65">
        <f>WORKDAY(G825,1)</f>
        <v>46391</v>
      </c>
      <c r="G829" s="65">
        <f t="shared" si="108"/>
        <v>46402</v>
      </c>
      <c r="H829" s="64">
        <v>10</v>
      </c>
      <c r="I829" s="129"/>
    </row>
    <row r="830" spans="1:9">
      <c r="A830" s="107" t="s">
        <v>124</v>
      </c>
      <c r="B830" s="107" t="s">
        <v>119</v>
      </c>
      <c r="C830" s="108"/>
      <c r="D830" s="64" t="s">
        <v>74</v>
      </c>
      <c r="E830" s="64"/>
      <c r="F830" s="65">
        <f>WORKDAY(G825,1)</f>
        <v>46391</v>
      </c>
      <c r="G830" s="66">
        <f>WORKDAY(F830,H830-1,)</f>
        <v>46402</v>
      </c>
      <c r="H830" s="64">
        <v>10</v>
      </c>
      <c r="I830" s="64">
        <v>3</v>
      </c>
    </row>
    <row r="831" spans="1:9">
      <c r="A831" s="107" t="s">
        <v>124</v>
      </c>
      <c r="B831" s="107" t="s">
        <v>119</v>
      </c>
      <c r="C831" s="108"/>
      <c r="D831" s="64" t="s">
        <v>77</v>
      </c>
      <c r="E831" s="64"/>
      <c r="F831" s="65">
        <f>WORKDAY(G825,1)</f>
        <v>46391</v>
      </c>
      <c r="G831" s="66">
        <f t="shared" ref="G831:G853" si="109">WORKDAY(F831,H831-1,)</f>
        <v>46402</v>
      </c>
      <c r="H831" s="64">
        <v>10</v>
      </c>
      <c r="I831" s="64">
        <v>0</v>
      </c>
    </row>
    <row r="832" spans="1:9">
      <c r="A832" s="107" t="s">
        <v>124</v>
      </c>
      <c r="B832" s="107" t="s">
        <v>119</v>
      </c>
      <c r="C832" s="108"/>
      <c r="D832" s="64" t="s">
        <v>80</v>
      </c>
      <c r="E832" s="64"/>
      <c r="F832" s="65">
        <f>WORKDAY(G825,1)</f>
        <v>46391</v>
      </c>
      <c r="G832" s="66">
        <f t="shared" si="109"/>
        <v>46402</v>
      </c>
      <c r="H832" s="64">
        <v>10</v>
      </c>
      <c r="I832" s="64">
        <v>0</v>
      </c>
    </row>
    <row r="833" spans="1:9">
      <c r="A833" s="107" t="s">
        <v>124</v>
      </c>
      <c r="B833" s="107" t="s">
        <v>119</v>
      </c>
      <c r="C833" s="108"/>
      <c r="D833" s="64" t="s">
        <v>81</v>
      </c>
      <c r="E833" s="64"/>
      <c r="F833" s="65">
        <f>WORKDAY(G825,1)</f>
        <v>46391</v>
      </c>
      <c r="G833" s="66">
        <f t="shared" si="109"/>
        <v>46402</v>
      </c>
      <c r="H833" s="64">
        <v>10</v>
      </c>
      <c r="I833" s="64">
        <v>6</v>
      </c>
    </row>
    <row r="834" spans="1:9">
      <c r="A834" s="70" t="s">
        <v>124</v>
      </c>
      <c r="B834" s="119" t="s">
        <v>119</v>
      </c>
      <c r="C834" s="120"/>
      <c r="D834" s="70" t="s">
        <v>82</v>
      </c>
      <c r="E834" s="70"/>
      <c r="F834" s="71">
        <f t="shared" ref="F834" si="110">WORKDAY(G833,1)</f>
        <v>46405</v>
      </c>
      <c r="G834" s="71">
        <f t="shared" si="109"/>
        <v>46416</v>
      </c>
      <c r="H834" s="70">
        <v>10</v>
      </c>
      <c r="I834" s="70">
        <v>4</v>
      </c>
    </row>
    <row r="835" spans="1:9">
      <c r="A835" s="77" t="s">
        <v>124</v>
      </c>
      <c r="B835" s="77" t="s">
        <v>119</v>
      </c>
      <c r="C835" s="98"/>
      <c r="D835" s="75" t="s">
        <v>85</v>
      </c>
      <c r="E835" s="75"/>
      <c r="F835" s="76">
        <f>WORKDAY(G834,-1)</f>
        <v>46415</v>
      </c>
      <c r="G835" s="44">
        <f t="shared" si="109"/>
        <v>46419</v>
      </c>
      <c r="H835" s="75">
        <v>3</v>
      </c>
      <c r="I835" s="75">
        <v>6</v>
      </c>
    </row>
    <row r="836" spans="1:9">
      <c r="A836" s="77" t="s">
        <v>124</v>
      </c>
      <c r="B836" s="77" t="s">
        <v>119</v>
      </c>
      <c r="C836" s="98"/>
      <c r="D836" s="75" t="s">
        <v>86</v>
      </c>
      <c r="E836" s="75"/>
      <c r="F836" s="76">
        <f>WORKDAY(G834,1)</f>
        <v>46419</v>
      </c>
      <c r="G836" s="44">
        <f t="shared" si="109"/>
        <v>46430</v>
      </c>
      <c r="H836" s="75">
        <v>10</v>
      </c>
      <c r="I836" s="75">
        <v>0</v>
      </c>
    </row>
    <row r="837" spans="1:9">
      <c r="A837" s="122" t="s">
        <v>124</v>
      </c>
      <c r="B837" s="78" t="s">
        <v>119</v>
      </c>
      <c r="C837" s="109"/>
      <c r="D837" s="79" t="s">
        <v>87</v>
      </c>
      <c r="E837" s="79"/>
      <c r="F837" s="81">
        <f>WORKDAY(F835,4)</f>
        <v>46421</v>
      </c>
      <c r="G837" s="82">
        <f t="shared" si="109"/>
        <v>46434</v>
      </c>
      <c r="H837" s="79">
        <v>10</v>
      </c>
      <c r="I837" s="79">
        <v>4</v>
      </c>
    </row>
    <row r="838" spans="1:9">
      <c r="A838" s="83" t="s">
        <v>124</v>
      </c>
      <c r="B838" s="114" t="s">
        <v>119</v>
      </c>
      <c r="C838" s="115"/>
      <c r="D838" s="83" t="s">
        <v>89</v>
      </c>
      <c r="E838" s="83"/>
      <c r="F838" s="85">
        <f>WORKDAY(F837,3)</f>
        <v>46426</v>
      </c>
      <c r="G838" s="85">
        <f t="shared" si="109"/>
        <v>46437</v>
      </c>
      <c r="H838" s="83">
        <v>10</v>
      </c>
      <c r="I838" s="127">
        <v>0</v>
      </c>
    </row>
    <row r="839" spans="1:9">
      <c r="A839" s="83" t="s">
        <v>124</v>
      </c>
      <c r="B839" s="114" t="s">
        <v>119</v>
      </c>
      <c r="C839" s="115"/>
      <c r="D839" s="83" t="s">
        <v>91</v>
      </c>
      <c r="E839" s="83"/>
      <c r="F839" s="85">
        <f>WORKDAY(F837,3)</f>
        <v>46426</v>
      </c>
      <c r="G839" s="85">
        <f t="shared" si="109"/>
        <v>46437</v>
      </c>
      <c r="H839" s="83">
        <v>10</v>
      </c>
      <c r="I839" s="127"/>
    </row>
    <row r="840" spans="1:9">
      <c r="A840" s="83" t="s">
        <v>124</v>
      </c>
      <c r="B840" s="114" t="s">
        <v>119</v>
      </c>
      <c r="C840" s="115"/>
      <c r="D840" s="83" t="s">
        <v>92</v>
      </c>
      <c r="E840" s="83"/>
      <c r="F840" s="85">
        <f>WORKDAY(F837,3)</f>
        <v>46426</v>
      </c>
      <c r="G840" s="85">
        <f t="shared" si="109"/>
        <v>46437</v>
      </c>
      <c r="H840" s="83">
        <v>10</v>
      </c>
      <c r="I840" s="127"/>
    </row>
    <row r="841" spans="1:9">
      <c r="A841" s="83" t="s">
        <v>124</v>
      </c>
      <c r="B841" s="114" t="s">
        <v>119</v>
      </c>
      <c r="C841" s="115"/>
      <c r="D841" s="83" t="s">
        <v>93</v>
      </c>
      <c r="E841" s="83"/>
      <c r="F841" s="85">
        <f>WORKDAY(F837,3)</f>
        <v>46426</v>
      </c>
      <c r="G841" s="85">
        <f t="shared" si="109"/>
        <v>46437</v>
      </c>
      <c r="H841" s="83">
        <v>10</v>
      </c>
      <c r="I841" s="127"/>
    </row>
    <row r="842" spans="1:9">
      <c r="A842" s="83" t="s">
        <v>124</v>
      </c>
      <c r="B842" s="114" t="s">
        <v>119</v>
      </c>
      <c r="C842" s="115"/>
      <c r="D842" s="83" t="s">
        <v>94</v>
      </c>
      <c r="E842" s="83"/>
      <c r="F842" s="85">
        <f>WORKDAY(F837,3)</f>
        <v>46426</v>
      </c>
      <c r="G842" s="85">
        <f t="shared" si="109"/>
        <v>46437</v>
      </c>
      <c r="H842" s="83">
        <v>10</v>
      </c>
      <c r="I842" s="83">
        <v>0</v>
      </c>
    </row>
    <row r="843" spans="1:9">
      <c r="A843" s="86" t="s">
        <v>124</v>
      </c>
      <c r="B843" s="116" t="s">
        <v>119</v>
      </c>
      <c r="C843" s="117"/>
      <c r="D843" s="86" t="s">
        <v>95</v>
      </c>
      <c r="E843" s="86"/>
      <c r="F843" s="88">
        <f>WORKDAY(F842,3)</f>
        <v>46429</v>
      </c>
      <c r="G843" s="88">
        <f t="shared" si="109"/>
        <v>46437</v>
      </c>
      <c r="H843" s="86">
        <v>7</v>
      </c>
      <c r="I843" s="86">
        <v>0</v>
      </c>
    </row>
    <row r="844" spans="1:9">
      <c r="A844" s="89" t="s">
        <v>124</v>
      </c>
      <c r="B844" s="89" t="s">
        <v>119</v>
      </c>
      <c r="C844" s="90"/>
      <c r="D844" s="89" t="s">
        <v>96</v>
      </c>
      <c r="E844" s="89"/>
      <c r="F844" s="91">
        <f>WORKDAY(F843,2)</f>
        <v>46433</v>
      </c>
      <c r="G844" s="91">
        <f t="shared" si="109"/>
        <v>46444</v>
      </c>
      <c r="H844" s="89">
        <v>10</v>
      </c>
      <c r="I844" s="89">
        <v>0</v>
      </c>
    </row>
    <row r="845" spans="1:9">
      <c r="A845" s="89" t="s">
        <v>124</v>
      </c>
      <c r="B845" s="89" t="s">
        <v>119</v>
      </c>
      <c r="C845" s="90"/>
      <c r="D845" s="89" t="s">
        <v>98</v>
      </c>
      <c r="E845" s="89"/>
      <c r="F845" s="91">
        <f>WORKDAY(F843,2)</f>
        <v>46433</v>
      </c>
      <c r="G845" s="91">
        <f t="shared" si="109"/>
        <v>46444</v>
      </c>
      <c r="H845" s="89">
        <v>10</v>
      </c>
      <c r="I845" s="89">
        <v>4</v>
      </c>
    </row>
    <row r="846" spans="1:9">
      <c r="A846" s="89" t="s">
        <v>124</v>
      </c>
      <c r="B846" s="89" t="s">
        <v>119</v>
      </c>
      <c r="C846" s="90"/>
      <c r="D846" s="89" t="s">
        <v>101</v>
      </c>
      <c r="E846" s="89"/>
      <c r="F846" s="91">
        <f>WORKDAY(F843,2)</f>
        <v>46433</v>
      </c>
      <c r="G846" s="91">
        <f t="shared" si="109"/>
        <v>46444</v>
      </c>
      <c r="H846" s="89">
        <v>10</v>
      </c>
      <c r="I846" s="89">
        <v>0</v>
      </c>
    </row>
    <row r="847" spans="1:9">
      <c r="A847" s="38" t="s">
        <v>124</v>
      </c>
      <c r="B847" s="38" t="s">
        <v>119</v>
      </c>
      <c r="C847" s="92"/>
      <c r="D847" s="38" t="s">
        <v>103</v>
      </c>
      <c r="E847" s="38"/>
      <c r="F847" s="93">
        <f>WORKDAY(G845,-4)</f>
        <v>46440</v>
      </c>
      <c r="G847" s="93">
        <f t="shared" si="109"/>
        <v>46442</v>
      </c>
      <c r="H847" s="38">
        <v>3</v>
      </c>
      <c r="I847" s="38">
        <v>0</v>
      </c>
    </row>
    <row r="848" spans="1:9">
      <c r="A848" s="38" t="s">
        <v>124</v>
      </c>
      <c r="B848" s="38" t="s">
        <v>119</v>
      </c>
      <c r="C848" s="92"/>
      <c r="D848" s="38" t="s">
        <v>106</v>
      </c>
      <c r="E848" s="38"/>
      <c r="F848" s="93">
        <f>WORKDAY(G845,-4)</f>
        <v>46440</v>
      </c>
      <c r="G848" s="93">
        <f t="shared" si="109"/>
        <v>46451</v>
      </c>
      <c r="H848" s="38">
        <v>10</v>
      </c>
      <c r="I848" s="38">
        <v>5</v>
      </c>
    </row>
    <row r="849" spans="1:9">
      <c r="A849" s="38" t="s">
        <v>124</v>
      </c>
      <c r="B849" s="38" t="s">
        <v>119</v>
      </c>
      <c r="C849" s="92"/>
      <c r="D849" s="38" t="s">
        <v>108</v>
      </c>
      <c r="E849" s="38"/>
      <c r="F849" s="93">
        <f>WORKDAY(G845,-4)</f>
        <v>46440</v>
      </c>
      <c r="G849" s="93">
        <f t="shared" si="109"/>
        <v>46451</v>
      </c>
      <c r="H849" s="38">
        <v>10</v>
      </c>
      <c r="I849" s="38">
        <v>3</v>
      </c>
    </row>
    <row r="850" spans="1:9">
      <c r="A850" s="94" t="s">
        <v>124</v>
      </c>
      <c r="B850" s="94" t="s">
        <v>119</v>
      </c>
      <c r="C850" s="95"/>
      <c r="D850" s="96" t="s">
        <v>109</v>
      </c>
      <c r="E850" s="96"/>
      <c r="F850" s="97">
        <f>WORKDAY(G845,1)</f>
        <v>46447</v>
      </c>
      <c r="G850" s="97">
        <f t="shared" si="109"/>
        <v>46458</v>
      </c>
      <c r="H850" s="94">
        <v>10</v>
      </c>
      <c r="I850" s="94">
        <v>0</v>
      </c>
    </row>
    <row r="851" spans="1:9">
      <c r="A851" s="94" t="s">
        <v>124</v>
      </c>
      <c r="B851" s="94" t="s">
        <v>119</v>
      </c>
      <c r="C851" s="95"/>
      <c r="D851" s="96" t="s">
        <v>112</v>
      </c>
      <c r="E851" s="96"/>
      <c r="F851" s="97">
        <f>WORKDAY(G845,1)</f>
        <v>46447</v>
      </c>
      <c r="G851" s="97">
        <f t="shared" si="109"/>
        <v>46458</v>
      </c>
      <c r="H851" s="94">
        <v>10</v>
      </c>
      <c r="I851" s="94">
        <v>0</v>
      </c>
    </row>
    <row r="852" spans="1:9">
      <c r="A852" s="77" t="s">
        <v>124</v>
      </c>
      <c r="B852" s="77" t="s">
        <v>119</v>
      </c>
      <c r="C852" s="98"/>
      <c r="D852" s="77" t="s">
        <v>113</v>
      </c>
      <c r="E852" s="77"/>
      <c r="F852" s="44">
        <f>WORKDAY(G850,-4)</f>
        <v>46454</v>
      </c>
      <c r="G852" s="44">
        <f t="shared" si="109"/>
        <v>46458</v>
      </c>
      <c r="H852" s="77">
        <v>5</v>
      </c>
      <c r="I852" s="77">
        <v>0</v>
      </c>
    </row>
    <row r="853" spans="1:9">
      <c r="A853" s="77" t="s">
        <v>124</v>
      </c>
      <c r="B853" s="77" t="s">
        <v>119</v>
      </c>
      <c r="C853" s="98"/>
      <c r="D853" s="77" t="s">
        <v>116</v>
      </c>
      <c r="E853" s="77"/>
      <c r="F853" s="44">
        <f>WORKDAY(G850,-4)</f>
        <v>46454</v>
      </c>
      <c r="G853" s="44">
        <f t="shared" si="109"/>
        <v>46458</v>
      </c>
      <c r="H853" s="77">
        <v>5</v>
      </c>
      <c r="I853" s="77">
        <v>0</v>
      </c>
    </row>
    <row r="854" spans="1:9">
      <c r="A854" s="5" t="s">
        <v>125</v>
      </c>
      <c r="B854" s="6" t="s">
        <v>10</v>
      </c>
      <c r="C854" s="7"/>
      <c r="D854" s="6" t="s">
        <v>11</v>
      </c>
      <c r="E854" s="6"/>
      <c r="F854" s="8">
        <f>WORKDAY(G803,6)</f>
        <v>46307</v>
      </c>
      <c r="G854" s="8">
        <f>WORKDAY(F854,H854-1,)</f>
        <v>46318</v>
      </c>
      <c r="H854" s="6">
        <v>10</v>
      </c>
      <c r="I854" s="6">
        <v>36</v>
      </c>
    </row>
    <row r="855" spans="1:9">
      <c r="A855" s="5" t="s">
        <v>125</v>
      </c>
      <c r="B855" s="6" t="s">
        <v>10</v>
      </c>
      <c r="C855" s="7"/>
      <c r="D855" s="6" t="s">
        <v>13</v>
      </c>
      <c r="E855" s="6"/>
      <c r="F855" s="8">
        <f>WORKDAY(G803,6)</f>
        <v>46307</v>
      </c>
      <c r="G855" s="8">
        <f t="shared" ref="G855" si="111">WORKDAY(F855,H855-1,)</f>
        <v>46318</v>
      </c>
      <c r="H855" s="6">
        <v>10</v>
      </c>
      <c r="I855" s="6">
        <v>1</v>
      </c>
    </row>
    <row r="856" spans="1:9">
      <c r="A856" s="5" t="s">
        <v>125</v>
      </c>
      <c r="B856" s="6" t="s">
        <v>10</v>
      </c>
      <c r="C856" s="7"/>
      <c r="D856" s="6" t="s">
        <v>15</v>
      </c>
      <c r="E856" s="6"/>
      <c r="F856" s="8">
        <f>WORKDAY(G803,6)</f>
        <v>46307</v>
      </c>
      <c r="G856" s="8">
        <f>WORKDAY(F856,H856-1,)</f>
        <v>46318</v>
      </c>
      <c r="H856" s="6">
        <v>10</v>
      </c>
      <c r="I856" s="6">
        <v>1</v>
      </c>
    </row>
    <row r="857" spans="1:9">
      <c r="A857" s="11" t="s">
        <v>125</v>
      </c>
      <c r="B857" s="11" t="s">
        <v>10</v>
      </c>
      <c r="C857" s="10"/>
      <c r="D857" s="11" t="s">
        <v>16</v>
      </c>
      <c r="E857" s="11"/>
      <c r="F857" s="12">
        <f>WORKDAY(G856,-4)</f>
        <v>46314</v>
      </c>
      <c r="G857" s="12">
        <f t="shared" ref="G857:G864" si="112">WORKDAY(F857,H857-1,)</f>
        <v>46325</v>
      </c>
      <c r="H857" s="11">
        <v>10</v>
      </c>
      <c r="I857" s="11">
        <v>5</v>
      </c>
    </row>
    <row r="858" spans="1:9">
      <c r="A858" s="11" t="s">
        <v>125</v>
      </c>
      <c r="B858" s="11" t="s">
        <v>10</v>
      </c>
      <c r="C858" s="10"/>
      <c r="D858" s="11" t="s">
        <v>18</v>
      </c>
      <c r="E858" s="11"/>
      <c r="F858" s="12">
        <f>WORKDAY(G856,-4)</f>
        <v>46314</v>
      </c>
      <c r="G858" s="12">
        <f t="shared" si="112"/>
        <v>46325</v>
      </c>
      <c r="H858" s="11">
        <v>10</v>
      </c>
      <c r="I858" s="13">
        <v>4</v>
      </c>
    </row>
    <row r="859" spans="1:9">
      <c r="A859" s="11" t="s">
        <v>125</v>
      </c>
      <c r="B859" s="11" t="s">
        <v>10</v>
      </c>
      <c r="C859" s="10"/>
      <c r="D859" s="11" t="s">
        <v>21</v>
      </c>
      <c r="E859" s="11"/>
      <c r="F859" s="12">
        <f>WORKDAY(G856,-4)</f>
        <v>46314</v>
      </c>
      <c r="G859" s="12">
        <f t="shared" si="112"/>
        <v>46325</v>
      </c>
      <c r="H859" s="11">
        <v>10</v>
      </c>
      <c r="I859" s="11">
        <v>3</v>
      </c>
    </row>
    <row r="860" spans="1:9">
      <c r="A860" s="11" t="s">
        <v>125</v>
      </c>
      <c r="B860" s="11" t="s">
        <v>10</v>
      </c>
      <c r="C860" s="10"/>
      <c r="D860" s="11" t="s">
        <v>24</v>
      </c>
      <c r="E860" s="11"/>
      <c r="F860" s="12">
        <f>WORKDAY(G856,-4)</f>
        <v>46314</v>
      </c>
      <c r="G860" s="12">
        <f t="shared" si="112"/>
        <v>46325</v>
      </c>
      <c r="H860" s="11">
        <v>10</v>
      </c>
      <c r="I860" s="11">
        <v>0</v>
      </c>
    </row>
    <row r="861" spans="1:9">
      <c r="A861" s="17" t="s">
        <v>125</v>
      </c>
      <c r="B861" s="17" t="s">
        <v>10</v>
      </c>
      <c r="C861" s="16"/>
      <c r="D861" s="17" t="s">
        <v>26</v>
      </c>
      <c r="E861" s="17"/>
      <c r="F861" s="18">
        <f>WORKDAY(G860,-4)</f>
        <v>46321</v>
      </c>
      <c r="G861" s="18">
        <f t="shared" si="112"/>
        <v>46332</v>
      </c>
      <c r="H861" s="17">
        <v>10</v>
      </c>
      <c r="I861" s="17">
        <v>2</v>
      </c>
    </row>
    <row r="862" spans="1:9">
      <c r="A862" s="21" t="s">
        <v>125</v>
      </c>
      <c r="B862" s="21" t="s">
        <v>10</v>
      </c>
      <c r="C862" s="20"/>
      <c r="D862" s="21" t="s">
        <v>29</v>
      </c>
      <c r="E862" s="21"/>
      <c r="F862" s="22">
        <f>WORKDAY(F861,5)</f>
        <v>46328</v>
      </c>
      <c r="G862" s="22">
        <f t="shared" si="112"/>
        <v>46332</v>
      </c>
      <c r="H862" s="21">
        <v>5</v>
      </c>
      <c r="I862" s="21">
        <v>4</v>
      </c>
    </row>
    <row r="863" spans="1:9">
      <c r="A863" s="21" t="s">
        <v>125</v>
      </c>
      <c r="B863" s="21" t="s">
        <v>10</v>
      </c>
      <c r="C863" s="20"/>
      <c r="D863" s="21" t="s">
        <v>32</v>
      </c>
      <c r="E863" s="21"/>
      <c r="F863" s="22">
        <f>WORKDAY(G861,1)</f>
        <v>46335</v>
      </c>
      <c r="G863" s="22">
        <f t="shared" si="112"/>
        <v>46339</v>
      </c>
      <c r="H863" s="21">
        <v>5</v>
      </c>
      <c r="I863" s="21">
        <v>1</v>
      </c>
    </row>
    <row r="864" spans="1:9">
      <c r="A864" s="21" t="s">
        <v>125</v>
      </c>
      <c r="B864" s="21" t="s">
        <v>10</v>
      </c>
      <c r="C864" s="20"/>
      <c r="D864" s="21" t="s">
        <v>34</v>
      </c>
      <c r="E864" s="21"/>
      <c r="F864" s="22">
        <f>WORKDAY(G858,1)</f>
        <v>46328</v>
      </c>
      <c r="G864" s="22">
        <f t="shared" si="112"/>
        <v>46339</v>
      </c>
      <c r="H864" s="21">
        <v>10</v>
      </c>
      <c r="I864" s="21">
        <v>3</v>
      </c>
    </row>
    <row r="865" spans="1:9">
      <c r="A865" s="31" t="s">
        <v>125</v>
      </c>
      <c r="B865" s="31" t="s">
        <v>10</v>
      </c>
      <c r="C865" s="30"/>
      <c r="D865" s="31" t="s">
        <v>37</v>
      </c>
      <c r="E865" s="31"/>
      <c r="F865" s="32">
        <f>WORKDAY(G864,1)</f>
        <v>46342</v>
      </c>
      <c r="G865" s="32">
        <f>WORKDAY(F865,H865-1,)</f>
        <v>46353</v>
      </c>
      <c r="H865" s="31">
        <v>10</v>
      </c>
      <c r="I865" s="128">
        <v>5</v>
      </c>
    </row>
    <row r="866" spans="1:9">
      <c r="A866" s="31" t="s">
        <v>125</v>
      </c>
      <c r="B866" s="31" t="s">
        <v>10</v>
      </c>
      <c r="C866" s="30"/>
      <c r="D866" s="31" t="s">
        <v>40</v>
      </c>
      <c r="E866" s="31"/>
      <c r="F866" s="32">
        <f>WORKDAY(G864,1)</f>
        <v>46342</v>
      </c>
      <c r="G866" s="32">
        <f t="shared" ref="G866:G878" si="113">WORKDAY(F866,H866-1,)</f>
        <v>46353</v>
      </c>
      <c r="H866" s="31">
        <v>10</v>
      </c>
      <c r="I866" s="128"/>
    </row>
    <row r="867" spans="1:9">
      <c r="A867" s="31" t="s">
        <v>125</v>
      </c>
      <c r="B867" s="31" t="s">
        <v>10</v>
      </c>
      <c r="C867" s="30"/>
      <c r="D867" s="31" t="s">
        <v>42</v>
      </c>
      <c r="E867" s="31"/>
      <c r="F867" s="32">
        <f>WORKDAY(G864,1)</f>
        <v>46342</v>
      </c>
      <c r="G867" s="32">
        <f t="shared" si="113"/>
        <v>46353</v>
      </c>
      <c r="H867" s="31">
        <v>10</v>
      </c>
      <c r="I867" s="128"/>
    </row>
    <row r="868" spans="1:9">
      <c r="A868" s="31" t="s">
        <v>125</v>
      </c>
      <c r="B868" s="31" t="s">
        <v>10</v>
      </c>
      <c r="C868" s="30"/>
      <c r="D868" s="31" t="s">
        <v>44</v>
      </c>
      <c r="E868" s="31"/>
      <c r="F868" s="32">
        <f>WORKDAY(G864,1)</f>
        <v>46342</v>
      </c>
      <c r="G868" s="32">
        <f t="shared" si="113"/>
        <v>46353</v>
      </c>
      <c r="H868" s="31">
        <v>10</v>
      </c>
      <c r="I868" s="128"/>
    </row>
    <row r="869" spans="1:9">
      <c r="A869" s="31" t="s">
        <v>125</v>
      </c>
      <c r="B869" s="58" t="s">
        <v>10</v>
      </c>
      <c r="C869" s="34"/>
      <c r="D869" s="31" t="s">
        <v>45</v>
      </c>
      <c r="E869" s="31"/>
      <c r="F869" s="32">
        <f>WORKDAY(G864,1)</f>
        <v>46342</v>
      </c>
      <c r="G869" s="32">
        <f t="shared" si="113"/>
        <v>46353</v>
      </c>
      <c r="H869" s="31">
        <v>10</v>
      </c>
      <c r="I869" s="31">
        <v>5</v>
      </c>
    </row>
    <row r="870" spans="1:9">
      <c r="A870" s="25" t="s">
        <v>125</v>
      </c>
      <c r="B870" s="26" t="s">
        <v>10</v>
      </c>
      <c r="C870" s="37"/>
      <c r="D870" s="26" t="s">
        <v>47</v>
      </c>
      <c r="E870" s="26"/>
      <c r="F870" s="27">
        <f>WORKDAY(G869,-4)</f>
        <v>46349</v>
      </c>
      <c r="G870" s="28">
        <f t="shared" si="113"/>
        <v>46360</v>
      </c>
      <c r="H870" s="26">
        <v>10</v>
      </c>
      <c r="I870" s="26">
        <v>11</v>
      </c>
    </row>
    <row r="871" spans="1:9">
      <c r="A871" s="77" t="s">
        <v>125</v>
      </c>
      <c r="B871" s="42" t="s">
        <v>10</v>
      </c>
      <c r="C871" s="41"/>
      <c r="D871" s="42" t="s">
        <v>50</v>
      </c>
      <c r="E871" s="42"/>
      <c r="F871" s="43">
        <f>WORKDAY(G869,1)</f>
        <v>46356</v>
      </c>
      <c r="G871" s="44">
        <f t="shared" si="113"/>
        <v>46356</v>
      </c>
      <c r="H871" s="42">
        <v>1</v>
      </c>
      <c r="I871" s="42">
        <v>0</v>
      </c>
    </row>
    <row r="872" spans="1:9">
      <c r="A872" s="21" t="s">
        <v>125</v>
      </c>
      <c r="B872" s="47" t="s">
        <v>10</v>
      </c>
      <c r="C872" s="46"/>
      <c r="D872" s="47" t="s">
        <v>52</v>
      </c>
      <c r="E872" s="47"/>
      <c r="F872" s="48">
        <f>WORKDAY(G870,1)</f>
        <v>46363</v>
      </c>
      <c r="G872" s="22">
        <f t="shared" si="113"/>
        <v>46374</v>
      </c>
      <c r="H872" s="47">
        <v>10</v>
      </c>
      <c r="I872" s="47">
        <v>5</v>
      </c>
    </row>
    <row r="873" spans="1:9">
      <c r="A873" s="21" t="s">
        <v>125</v>
      </c>
      <c r="B873" s="47" t="s">
        <v>10</v>
      </c>
      <c r="C873" s="46"/>
      <c r="D873" s="49" t="s">
        <v>55</v>
      </c>
      <c r="E873" s="49"/>
      <c r="F873" s="48">
        <f>WORKDAY(G870,1)</f>
        <v>46363</v>
      </c>
      <c r="G873" s="22">
        <f t="shared" si="113"/>
        <v>46374</v>
      </c>
      <c r="H873" s="47">
        <v>10</v>
      </c>
      <c r="I873" s="47">
        <v>0</v>
      </c>
    </row>
    <row r="874" spans="1:9">
      <c r="A874" s="52" t="s">
        <v>125</v>
      </c>
      <c r="B874" s="52" t="s">
        <v>10</v>
      </c>
      <c r="C874" s="51"/>
      <c r="D874" s="52" t="s">
        <v>56</v>
      </c>
      <c r="E874" s="52"/>
      <c r="F874" s="53">
        <f t="shared" ref="F874" si="114">WORKDAY(G873,1)</f>
        <v>46377</v>
      </c>
      <c r="G874" s="53">
        <f t="shared" si="113"/>
        <v>46388</v>
      </c>
      <c r="H874" s="52">
        <v>10</v>
      </c>
      <c r="I874" s="52">
        <v>7</v>
      </c>
    </row>
    <row r="875" spans="1:9">
      <c r="A875" s="52" t="s">
        <v>125</v>
      </c>
      <c r="B875" s="52" t="s">
        <v>10</v>
      </c>
      <c r="C875" s="51"/>
      <c r="D875" s="52" t="s">
        <v>59</v>
      </c>
      <c r="E875" s="52"/>
      <c r="F875" s="53">
        <f>WORKDAY(G873,1)</f>
        <v>46377</v>
      </c>
      <c r="G875" s="53">
        <f t="shared" si="113"/>
        <v>46377</v>
      </c>
      <c r="H875" s="52">
        <v>1</v>
      </c>
      <c r="I875" s="52">
        <v>5</v>
      </c>
    </row>
    <row r="876" spans="1:9">
      <c r="A876" s="56" t="s">
        <v>125</v>
      </c>
      <c r="B876" s="56" t="s">
        <v>10</v>
      </c>
      <c r="C876" s="55"/>
      <c r="D876" s="56" t="s">
        <v>62</v>
      </c>
      <c r="E876" s="56"/>
      <c r="F876" s="57">
        <f>WORKDAY(G874,-4)</f>
        <v>46384</v>
      </c>
      <c r="G876" s="57">
        <f t="shared" si="113"/>
        <v>46395</v>
      </c>
      <c r="H876" s="56">
        <v>10</v>
      </c>
      <c r="I876" s="56">
        <v>10</v>
      </c>
    </row>
    <row r="877" spans="1:9">
      <c r="A877" s="56" t="s">
        <v>125</v>
      </c>
      <c r="B877" s="56" t="s">
        <v>10</v>
      </c>
      <c r="C877" s="55"/>
      <c r="D877" s="56" t="s">
        <v>64</v>
      </c>
      <c r="E877" s="56"/>
      <c r="F877" s="57">
        <f>WORKDAY(F876,1)</f>
        <v>46385</v>
      </c>
      <c r="G877" s="57">
        <f t="shared" si="113"/>
        <v>46395</v>
      </c>
      <c r="H877" s="56">
        <v>9</v>
      </c>
      <c r="I877" s="56">
        <v>0</v>
      </c>
    </row>
    <row r="878" spans="1:9">
      <c r="A878" s="31" t="s">
        <v>125</v>
      </c>
      <c r="B878" s="58" t="s">
        <v>10</v>
      </c>
      <c r="C878" s="34"/>
      <c r="D878" s="58" t="s">
        <v>65</v>
      </c>
      <c r="E878" s="58"/>
      <c r="F878" s="59">
        <f>WORKDAY(G876,1)</f>
        <v>46398</v>
      </c>
      <c r="G878" s="32">
        <f t="shared" si="113"/>
        <v>46409</v>
      </c>
      <c r="H878" s="58">
        <v>10</v>
      </c>
      <c r="I878" s="58">
        <v>4</v>
      </c>
    </row>
    <row r="879" spans="1:9">
      <c r="A879" s="107" t="s">
        <v>125</v>
      </c>
      <c r="B879" s="121" t="s">
        <v>10</v>
      </c>
      <c r="C879" s="63"/>
      <c r="D879" s="64" t="s">
        <v>68</v>
      </c>
      <c r="E879" s="64"/>
      <c r="F879" s="65">
        <f>WORKDAY(G878,1)</f>
        <v>46412</v>
      </c>
      <c r="G879" s="65">
        <f>WORKDAY(F879,H879-1,)</f>
        <v>46423</v>
      </c>
      <c r="H879" s="64">
        <v>10</v>
      </c>
      <c r="I879" s="130">
        <v>4</v>
      </c>
    </row>
    <row r="880" spans="1:9">
      <c r="A880" s="107" t="s">
        <v>125</v>
      </c>
      <c r="B880" s="121" t="s">
        <v>10</v>
      </c>
      <c r="C880" s="63"/>
      <c r="D880" s="64" t="s">
        <v>71</v>
      </c>
      <c r="E880" s="64"/>
      <c r="F880" s="65">
        <f>WORKDAY(G878,1)</f>
        <v>46412</v>
      </c>
      <c r="G880" s="65">
        <f t="shared" ref="G880:G882" si="115">WORKDAY(F879,H879-1,)</f>
        <v>46423</v>
      </c>
      <c r="H880" s="64">
        <v>10</v>
      </c>
      <c r="I880" s="130"/>
    </row>
    <row r="881" spans="1:9">
      <c r="A881" s="107" t="s">
        <v>125</v>
      </c>
      <c r="B881" s="121" t="s">
        <v>10</v>
      </c>
      <c r="C881" s="63"/>
      <c r="D881" s="64" t="s">
        <v>72</v>
      </c>
      <c r="E881" s="64"/>
      <c r="F881" s="65">
        <f>WORKDAY(G878,1)</f>
        <v>46412</v>
      </c>
      <c r="G881" s="65">
        <f t="shared" si="115"/>
        <v>46423</v>
      </c>
      <c r="H881" s="64">
        <v>10</v>
      </c>
      <c r="I881" s="130"/>
    </row>
    <row r="882" spans="1:9">
      <c r="A882" s="107" t="s">
        <v>125</v>
      </c>
      <c r="B882" s="121" t="s">
        <v>10</v>
      </c>
      <c r="C882" s="63"/>
      <c r="D882" s="64" t="s">
        <v>73</v>
      </c>
      <c r="E882" s="64"/>
      <c r="F882" s="65">
        <f>WORKDAY(G878,1)</f>
        <v>46412</v>
      </c>
      <c r="G882" s="65">
        <f t="shared" si="115"/>
        <v>46423</v>
      </c>
      <c r="H882" s="64">
        <v>10</v>
      </c>
      <c r="I882" s="130"/>
    </row>
    <row r="883" spans="1:9">
      <c r="A883" s="107" t="s">
        <v>125</v>
      </c>
      <c r="B883" s="121" t="s">
        <v>10</v>
      </c>
      <c r="C883" s="63"/>
      <c r="D883" s="64" t="s">
        <v>74</v>
      </c>
      <c r="E883" s="64"/>
      <c r="F883" s="65">
        <f>WORKDAY(G878,1)</f>
        <v>46412</v>
      </c>
      <c r="G883" s="66">
        <f>WORKDAY(F883,H883-1,)</f>
        <v>46423</v>
      </c>
      <c r="H883" s="64">
        <v>10</v>
      </c>
      <c r="I883" s="64">
        <v>6</v>
      </c>
    </row>
    <row r="884" spans="1:9">
      <c r="A884" s="107" t="s">
        <v>125</v>
      </c>
      <c r="B884" s="121" t="s">
        <v>10</v>
      </c>
      <c r="C884" s="63"/>
      <c r="D884" s="64" t="s">
        <v>77</v>
      </c>
      <c r="E884" s="64"/>
      <c r="F884" s="65">
        <f>WORKDAY(G878,1)</f>
        <v>46412</v>
      </c>
      <c r="G884" s="66">
        <f t="shared" ref="G884:G906" si="116">WORKDAY(F884,H884-1,)</f>
        <v>46423</v>
      </c>
      <c r="H884" s="64">
        <v>10</v>
      </c>
      <c r="I884" s="64">
        <v>1</v>
      </c>
    </row>
    <row r="885" spans="1:9">
      <c r="A885" s="107" t="s">
        <v>125</v>
      </c>
      <c r="B885" s="121" t="s">
        <v>10</v>
      </c>
      <c r="C885" s="63"/>
      <c r="D885" s="64" t="s">
        <v>80</v>
      </c>
      <c r="E885" s="64"/>
      <c r="F885" s="65">
        <f>WORKDAY(G878,1)</f>
        <v>46412</v>
      </c>
      <c r="G885" s="66">
        <f t="shared" si="116"/>
        <v>46423</v>
      </c>
      <c r="H885" s="64">
        <v>10</v>
      </c>
      <c r="I885" s="64">
        <v>0</v>
      </c>
    </row>
    <row r="886" spans="1:9">
      <c r="A886" s="107" t="s">
        <v>125</v>
      </c>
      <c r="B886" s="121" t="s">
        <v>10</v>
      </c>
      <c r="C886" s="63"/>
      <c r="D886" s="64" t="s">
        <v>81</v>
      </c>
      <c r="E886" s="64"/>
      <c r="F886" s="65">
        <f>WORKDAY(G878,1)</f>
        <v>46412</v>
      </c>
      <c r="G886" s="66">
        <f t="shared" si="116"/>
        <v>46423</v>
      </c>
      <c r="H886" s="64">
        <v>10</v>
      </c>
      <c r="I886" s="64">
        <v>4</v>
      </c>
    </row>
    <row r="887" spans="1:9">
      <c r="A887" s="70" t="s">
        <v>125</v>
      </c>
      <c r="B887" s="70" t="s">
        <v>10</v>
      </c>
      <c r="C887" s="69"/>
      <c r="D887" s="70" t="s">
        <v>82</v>
      </c>
      <c r="E887" s="70"/>
      <c r="F887" s="71">
        <f t="shared" ref="F887" si="117">WORKDAY(G886,1)</f>
        <v>46426</v>
      </c>
      <c r="G887" s="71">
        <f t="shared" si="116"/>
        <v>46437</v>
      </c>
      <c r="H887" s="70">
        <v>10</v>
      </c>
      <c r="I887" s="70">
        <v>4</v>
      </c>
    </row>
    <row r="888" spans="1:9">
      <c r="A888" s="77" t="s">
        <v>125</v>
      </c>
      <c r="B888" s="75" t="s">
        <v>10</v>
      </c>
      <c r="C888" s="74"/>
      <c r="D888" s="75" t="s">
        <v>85</v>
      </c>
      <c r="E888" s="75"/>
      <c r="F888" s="76">
        <f>WORKDAY(G887,-1)</f>
        <v>46436</v>
      </c>
      <c r="G888" s="44">
        <f t="shared" si="116"/>
        <v>46440</v>
      </c>
      <c r="H888" s="75">
        <v>3</v>
      </c>
      <c r="I888" s="75">
        <v>12</v>
      </c>
    </row>
    <row r="889" spans="1:9">
      <c r="A889" s="77" t="s">
        <v>125</v>
      </c>
      <c r="B889" s="75" t="s">
        <v>10</v>
      </c>
      <c r="C889" s="74"/>
      <c r="D889" s="75" t="s">
        <v>86</v>
      </c>
      <c r="E889" s="75"/>
      <c r="F889" s="76">
        <f>WORKDAY(G887,1)</f>
        <v>46440</v>
      </c>
      <c r="G889" s="44">
        <f t="shared" si="116"/>
        <v>46451</v>
      </c>
      <c r="H889" s="75">
        <v>10</v>
      </c>
      <c r="I889" s="75">
        <v>0</v>
      </c>
    </row>
    <row r="890" spans="1:9">
      <c r="A890" s="78" t="s">
        <v>125</v>
      </c>
      <c r="B890" s="79" t="s">
        <v>10</v>
      </c>
      <c r="C890" s="80"/>
      <c r="D890" s="79" t="s">
        <v>87</v>
      </c>
      <c r="E890" s="79"/>
      <c r="F890" s="81">
        <f>WORKDAY(F888,4)</f>
        <v>46442</v>
      </c>
      <c r="G890" s="82">
        <f t="shared" si="116"/>
        <v>46455</v>
      </c>
      <c r="H890" s="79">
        <v>10</v>
      </c>
      <c r="I890" s="79">
        <v>4</v>
      </c>
    </row>
    <row r="891" spans="1:9">
      <c r="A891" s="83" t="s">
        <v>125</v>
      </c>
      <c r="B891" s="83" t="s">
        <v>10</v>
      </c>
      <c r="C891" s="84"/>
      <c r="D891" s="83" t="s">
        <v>89</v>
      </c>
      <c r="E891" s="83"/>
      <c r="F891" s="85">
        <f>WORKDAY(F890,3)</f>
        <v>46447</v>
      </c>
      <c r="G891" s="85">
        <f t="shared" si="116"/>
        <v>46458</v>
      </c>
      <c r="H891" s="83">
        <v>10</v>
      </c>
      <c r="I891" s="127">
        <v>1</v>
      </c>
    </row>
    <row r="892" spans="1:9">
      <c r="A892" s="83" t="s">
        <v>125</v>
      </c>
      <c r="B892" s="83" t="s">
        <v>10</v>
      </c>
      <c r="C892" s="84"/>
      <c r="D892" s="83" t="s">
        <v>91</v>
      </c>
      <c r="E892" s="83"/>
      <c r="F892" s="85">
        <f>WORKDAY(F890,3)</f>
        <v>46447</v>
      </c>
      <c r="G892" s="85">
        <f t="shared" si="116"/>
        <v>46458</v>
      </c>
      <c r="H892" s="83">
        <v>10</v>
      </c>
      <c r="I892" s="127"/>
    </row>
    <row r="893" spans="1:9">
      <c r="A893" s="83" t="s">
        <v>125</v>
      </c>
      <c r="B893" s="83" t="s">
        <v>10</v>
      </c>
      <c r="C893" s="84"/>
      <c r="D893" s="83" t="s">
        <v>92</v>
      </c>
      <c r="E893" s="83"/>
      <c r="F893" s="85">
        <f>WORKDAY(F890,3)</f>
        <v>46447</v>
      </c>
      <c r="G893" s="85">
        <f t="shared" si="116"/>
        <v>46458</v>
      </c>
      <c r="H893" s="83">
        <v>10</v>
      </c>
      <c r="I893" s="127"/>
    </row>
    <row r="894" spans="1:9">
      <c r="A894" s="83" t="s">
        <v>125</v>
      </c>
      <c r="B894" s="83" t="s">
        <v>10</v>
      </c>
      <c r="C894" s="84"/>
      <c r="D894" s="83" t="s">
        <v>93</v>
      </c>
      <c r="E894" s="83"/>
      <c r="F894" s="85">
        <f>WORKDAY(F890,3)</f>
        <v>46447</v>
      </c>
      <c r="G894" s="85">
        <f t="shared" si="116"/>
        <v>46458</v>
      </c>
      <c r="H894" s="83">
        <v>10</v>
      </c>
      <c r="I894" s="127"/>
    </row>
    <row r="895" spans="1:9">
      <c r="A895" s="83" t="s">
        <v>125</v>
      </c>
      <c r="B895" s="83" t="s">
        <v>10</v>
      </c>
      <c r="C895" s="84"/>
      <c r="D895" s="83" t="s">
        <v>94</v>
      </c>
      <c r="E895" s="83"/>
      <c r="F895" s="85">
        <f>WORKDAY(F890,3)</f>
        <v>46447</v>
      </c>
      <c r="G895" s="85">
        <f t="shared" si="116"/>
        <v>46458</v>
      </c>
      <c r="H895" s="83">
        <v>10</v>
      </c>
      <c r="I895" s="83">
        <v>1</v>
      </c>
    </row>
    <row r="896" spans="1:9">
      <c r="A896" s="86" t="s">
        <v>125</v>
      </c>
      <c r="B896" s="86" t="s">
        <v>10</v>
      </c>
      <c r="C896" s="87"/>
      <c r="D896" s="86" t="s">
        <v>95</v>
      </c>
      <c r="E896" s="86"/>
      <c r="F896" s="88">
        <f>WORKDAY(F895,3)</f>
        <v>46450</v>
      </c>
      <c r="G896" s="88">
        <f t="shared" si="116"/>
        <v>46458</v>
      </c>
      <c r="H896" s="86">
        <v>7</v>
      </c>
      <c r="I896" s="86">
        <v>0</v>
      </c>
    </row>
    <row r="897" spans="1:9">
      <c r="A897" s="89" t="s">
        <v>125</v>
      </c>
      <c r="B897" s="89" t="s">
        <v>10</v>
      </c>
      <c r="C897" s="90"/>
      <c r="D897" s="89" t="s">
        <v>96</v>
      </c>
      <c r="E897" s="89"/>
      <c r="F897" s="91">
        <f>WORKDAY(F896,2)</f>
        <v>46454</v>
      </c>
      <c r="G897" s="91">
        <f t="shared" si="116"/>
        <v>46465</v>
      </c>
      <c r="H897" s="89">
        <v>10</v>
      </c>
      <c r="I897" s="89">
        <v>2</v>
      </c>
    </row>
    <row r="898" spans="1:9">
      <c r="A898" s="89" t="s">
        <v>125</v>
      </c>
      <c r="B898" s="89" t="s">
        <v>10</v>
      </c>
      <c r="C898" s="90"/>
      <c r="D898" s="89" t="s">
        <v>98</v>
      </c>
      <c r="E898" s="89"/>
      <c r="F898" s="91">
        <f>WORKDAY(F896,2)</f>
        <v>46454</v>
      </c>
      <c r="G898" s="91">
        <f t="shared" si="116"/>
        <v>46465</v>
      </c>
      <c r="H898" s="89">
        <v>10</v>
      </c>
      <c r="I898" s="89">
        <v>9</v>
      </c>
    </row>
    <row r="899" spans="1:9">
      <c r="A899" s="89" t="s">
        <v>125</v>
      </c>
      <c r="B899" s="89" t="s">
        <v>10</v>
      </c>
      <c r="C899" s="90"/>
      <c r="D899" s="89" t="s">
        <v>101</v>
      </c>
      <c r="E899" s="89"/>
      <c r="F899" s="91">
        <f>WORKDAY(F896,2)</f>
        <v>46454</v>
      </c>
      <c r="G899" s="91">
        <f t="shared" si="116"/>
        <v>46465</v>
      </c>
      <c r="H899" s="89">
        <v>10</v>
      </c>
      <c r="I899" s="89">
        <v>0</v>
      </c>
    </row>
    <row r="900" spans="1:9">
      <c r="A900" s="38" t="s">
        <v>125</v>
      </c>
      <c r="B900" s="38" t="s">
        <v>10</v>
      </c>
      <c r="C900" s="92"/>
      <c r="D900" s="38" t="s">
        <v>103</v>
      </c>
      <c r="E900" s="38"/>
      <c r="F900" s="93">
        <f>WORKDAY(G898,-4)</f>
        <v>46461</v>
      </c>
      <c r="G900" s="93">
        <f t="shared" si="116"/>
        <v>46463</v>
      </c>
      <c r="H900" s="38">
        <v>3</v>
      </c>
      <c r="I900" s="38">
        <v>0</v>
      </c>
    </row>
    <row r="901" spans="1:9">
      <c r="A901" s="38" t="s">
        <v>125</v>
      </c>
      <c r="B901" s="38" t="s">
        <v>10</v>
      </c>
      <c r="C901" s="92"/>
      <c r="D901" s="38" t="s">
        <v>106</v>
      </c>
      <c r="E901" s="38"/>
      <c r="F901" s="93">
        <f>WORKDAY(G898,-4)</f>
        <v>46461</v>
      </c>
      <c r="G901" s="93">
        <f t="shared" si="116"/>
        <v>46472</v>
      </c>
      <c r="H901" s="38">
        <v>10</v>
      </c>
      <c r="I901" s="38">
        <v>10</v>
      </c>
    </row>
    <row r="902" spans="1:9">
      <c r="A902" s="38" t="s">
        <v>125</v>
      </c>
      <c r="B902" s="38" t="s">
        <v>10</v>
      </c>
      <c r="C902" s="92"/>
      <c r="D902" s="38" t="s">
        <v>108</v>
      </c>
      <c r="E902" s="38"/>
      <c r="F902" s="93">
        <f>WORKDAY(G898,-4)</f>
        <v>46461</v>
      </c>
      <c r="G902" s="93">
        <f t="shared" si="116"/>
        <v>46472</v>
      </c>
      <c r="H902" s="38">
        <v>10</v>
      </c>
      <c r="I902" s="38">
        <v>6</v>
      </c>
    </row>
    <row r="903" spans="1:9">
      <c r="A903" s="94" t="s">
        <v>125</v>
      </c>
      <c r="B903" s="94" t="s">
        <v>10</v>
      </c>
      <c r="C903" s="95"/>
      <c r="D903" s="96" t="s">
        <v>109</v>
      </c>
      <c r="E903" s="96"/>
      <c r="F903" s="97">
        <f>WORKDAY(G898,1)</f>
        <v>46468</v>
      </c>
      <c r="G903" s="97">
        <f t="shared" si="116"/>
        <v>46479</v>
      </c>
      <c r="H903" s="94">
        <v>10</v>
      </c>
      <c r="I903" s="94">
        <v>0</v>
      </c>
    </row>
    <row r="904" spans="1:9">
      <c r="A904" s="94" t="s">
        <v>125</v>
      </c>
      <c r="B904" s="94" t="s">
        <v>10</v>
      </c>
      <c r="C904" s="95"/>
      <c r="D904" s="96" t="s">
        <v>112</v>
      </c>
      <c r="E904" s="96"/>
      <c r="F904" s="97">
        <f>WORKDAY(G898,1)</f>
        <v>46468</v>
      </c>
      <c r="G904" s="97">
        <f t="shared" si="116"/>
        <v>46479</v>
      </c>
      <c r="H904" s="94">
        <v>10</v>
      </c>
      <c r="I904" s="94">
        <v>0</v>
      </c>
    </row>
    <row r="905" spans="1:9">
      <c r="A905" s="77" t="s">
        <v>125</v>
      </c>
      <c r="B905" s="77" t="s">
        <v>10</v>
      </c>
      <c r="C905" s="98"/>
      <c r="D905" s="77" t="s">
        <v>113</v>
      </c>
      <c r="E905" s="77"/>
      <c r="F905" s="44">
        <f>WORKDAY(G903,-4)</f>
        <v>46475</v>
      </c>
      <c r="G905" s="44">
        <f t="shared" si="116"/>
        <v>46479</v>
      </c>
      <c r="H905" s="77">
        <v>5</v>
      </c>
      <c r="I905" s="77">
        <v>1</v>
      </c>
    </row>
    <row r="906" spans="1:9">
      <c r="A906" s="77" t="s">
        <v>125</v>
      </c>
      <c r="B906" s="77" t="s">
        <v>10</v>
      </c>
      <c r="C906" s="98"/>
      <c r="D906" s="77" t="s">
        <v>116</v>
      </c>
      <c r="E906" s="77"/>
      <c r="F906" s="44">
        <f>WORKDAY(G903,-4)</f>
        <v>46475</v>
      </c>
      <c r="G906" s="44">
        <f t="shared" si="116"/>
        <v>46479</v>
      </c>
      <c r="H906" s="77">
        <v>5</v>
      </c>
      <c r="I906" s="77">
        <v>0</v>
      </c>
    </row>
    <row r="907" spans="1:9">
      <c r="A907" s="5" t="s">
        <v>125</v>
      </c>
      <c r="B907" s="99" t="s">
        <v>117</v>
      </c>
      <c r="C907" s="100"/>
      <c r="D907" s="6" t="s">
        <v>11</v>
      </c>
      <c r="E907" s="6"/>
      <c r="F907" s="8">
        <f>WORKDAY(G856,1)</f>
        <v>46321</v>
      </c>
      <c r="G907" s="8">
        <f>WORKDAY(F907,H907-1,)</f>
        <v>46332</v>
      </c>
      <c r="H907" s="6">
        <v>10</v>
      </c>
      <c r="I907" s="6">
        <v>36</v>
      </c>
    </row>
    <row r="908" spans="1:9">
      <c r="A908" s="5" t="s">
        <v>125</v>
      </c>
      <c r="B908" s="99" t="s">
        <v>117</v>
      </c>
      <c r="C908" s="100"/>
      <c r="D908" s="6" t="s">
        <v>13</v>
      </c>
      <c r="E908" s="6"/>
      <c r="F908" s="8">
        <f>WORKDAY(G856,1)</f>
        <v>46321</v>
      </c>
      <c r="G908" s="8">
        <f t="shared" ref="G908" si="118">WORKDAY(F908,H908-1,)</f>
        <v>46332</v>
      </c>
      <c r="H908" s="6">
        <v>10</v>
      </c>
      <c r="I908" s="6">
        <v>1</v>
      </c>
    </row>
    <row r="909" spans="1:9">
      <c r="A909" s="5" t="s">
        <v>125</v>
      </c>
      <c r="B909" s="99" t="s">
        <v>117</v>
      </c>
      <c r="C909" s="100"/>
      <c r="D909" s="6" t="s">
        <v>15</v>
      </c>
      <c r="E909" s="6"/>
      <c r="F909" s="8">
        <f>WORKDAY(G856,1)</f>
        <v>46321</v>
      </c>
      <c r="G909" s="8">
        <f>WORKDAY(F909,H909-1,)</f>
        <v>46332</v>
      </c>
      <c r="H909" s="6">
        <v>10</v>
      </c>
      <c r="I909" s="6">
        <v>1</v>
      </c>
    </row>
    <row r="910" spans="1:9">
      <c r="A910" s="11" t="s">
        <v>125</v>
      </c>
      <c r="B910" s="101" t="s">
        <v>117</v>
      </c>
      <c r="C910" s="102"/>
      <c r="D910" s="11" t="s">
        <v>16</v>
      </c>
      <c r="E910" s="11"/>
      <c r="F910" s="12">
        <f>WORKDAY(G909,-4)</f>
        <v>46328</v>
      </c>
      <c r="G910" s="12">
        <f t="shared" ref="G910:G917" si="119">WORKDAY(F910,H910-1,)</f>
        <v>46339</v>
      </c>
      <c r="H910" s="11">
        <v>10</v>
      </c>
      <c r="I910" s="11">
        <v>5</v>
      </c>
    </row>
    <row r="911" spans="1:9">
      <c r="A911" s="11" t="s">
        <v>125</v>
      </c>
      <c r="B911" s="101" t="s">
        <v>117</v>
      </c>
      <c r="C911" s="102"/>
      <c r="D911" s="11" t="s">
        <v>18</v>
      </c>
      <c r="E911" s="11"/>
      <c r="F911" s="12">
        <f>WORKDAY(G909,-4)</f>
        <v>46328</v>
      </c>
      <c r="G911" s="12">
        <f t="shared" si="119"/>
        <v>46339</v>
      </c>
      <c r="H911" s="11">
        <v>10</v>
      </c>
      <c r="I911" s="13">
        <v>4</v>
      </c>
    </row>
    <row r="912" spans="1:9">
      <c r="A912" s="11" t="s">
        <v>125</v>
      </c>
      <c r="B912" s="101" t="s">
        <v>117</v>
      </c>
      <c r="C912" s="102"/>
      <c r="D912" s="11" t="s">
        <v>21</v>
      </c>
      <c r="E912" s="11"/>
      <c r="F912" s="12">
        <f>WORKDAY(G909,-4)</f>
        <v>46328</v>
      </c>
      <c r="G912" s="12">
        <f t="shared" si="119"/>
        <v>46339</v>
      </c>
      <c r="H912" s="11">
        <v>10</v>
      </c>
      <c r="I912" s="11">
        <v>3</v>
      </c>
    </row>
    <row r="913" spans="1:9">
      <c r="A913" s="11" t="s">
        <v>125</v>
      </c>
      <c r="B913" s="101" t="s">
        <v>117</v>
      </c>
      <c r="C913" s="102"/>
      <c r="D913" s="11" t="s">
        <v>24</v>
      </c>
      <c r="E913" s="11"/>
      <c r="F913" s="12">
        <f>WORKDAY(G909,-4)</f>
        <v>46328</v>
      </c>
      <c r="G913" s="12">
        <f t="shared" si="119"/>
        <v>46339</v>
      </c>
      <c r="H913" s="11">
        <v>10</v>
      </c>
      <c r="I913" s="11">
        <v>0</v>
      </c>
    </row>
    <row r="914" spans="1:9">
      <c r="A914" s="17" t="s">
        <v>125</v>
      </c>
      <c r="B914" s="103" t="s">
        <v>117</v>
      </c>
      <c r="C914" s="104"/>
      <c r="D914" s="17" t="s">
        <v>26</v>
      </c>
      <c r="E914" s="17"/>
      <c r="F914" s="18">
        <f>WORKDAY(G913,-4)</f>
        <v>46335</v>
      </c>
      <c r="G914" s="18">
        <f t="shared" si="119"/>
        <v>46346</v>
      </c>
      <c r="H914" s="17">
        <v>10</v>
      </c>
      <c r="I914" s="17">
        <v>2</v>
      </c>
    </row>
    <row r="915" spans="1:9">
      <c r="A915" s="21" t="s">
        <v>125</v>
      </c>
      <c r="B915" s="21" t="s">
        <v>117</v>
      </c>
      <c r="C915" s="20"/>
      <c r="D915" s="21" t="s">
        <v>29</v>
      </c>
      <c r="E915" s="21"/>
      <c r="F915" s="22">
        <f>WORKDAY(F914,5)</f>
        <v>46342</v>
      </c>
      <c r="G915" s="22">
        <f t="shared" si="119"/>
        <v>46346</v>
      </c>
      <c r="H915" s="21">
        <v>5</v>
      </c>
      <c r="I915" s="21">
        <v>4</v>
      </c>
    </row>
    <row r="916" spans="1:9">
      <c r="A916" s="21" t="s">
        <v>125</v>
      </c>
      <c r="B916" s="21" t="s">
        <v>117</v>
      </c>
      <c r="C916" s="20"/>
      <c r="D916" s="21" t="s">
        <v>32</v>
      </c>
      <c r="E916" s="21"/>
      <c r="F916" s="22">
        <f>WORKDAY(G914,1)</f>
        <v>46349</v>
      </c>
      <c r="G916" s="22">
        <f t="shared" si="119"/>
        <v>46353</v>
      </c>
      <c r="H916" s="21">
        <v>5</v>
      </c>
      <c r="I916" s="21">
        <v>1</v>
      </c>
    </row>
    <row r="917" spans="1:9">
      <c r="A917" s="21" t="s">
        <v>125</v>
      </c>
      <c r="B917" s="21" t="s">
        <v>117</v>
      </c>
      <c r="C917" s="20"/>
      <c r="D917" s="21" t="s">
        <v>34</v>
      </c>
      <c r="E917" s="21"/>
      <c r="F917" s="22">
        <f>WORKDAY(G911,1)</f>
        <v>46342</v>
      </c>
      <c r="G917" s="22">
        <f t="shared" si="119"/>
        <v>46353</v>
      </c>
      <c r="H917" s="21">
        <v>10</v>
      </c>
      <c r="I917" s="21">
        <v>3</v>
      </c>
    </row>
    <row r="918" spans="1:9">
      <c r="A918" s="31" t="s">
        <v>125</v>
      </c>
      <c r="B918" s="31" t="s">
        <v>117</v>
      </c>
      <c r="C918" s="30"/>
      <c r="D918" s="31" t="s">
        <v>37</v>
      </c>
      <c r="E918" s="31"/>
      <c r="F918" s="32">
        <f>WORKDAY(G917,1)</f>
        <v>46356</v>
      </c>
      <c r="G918" s="32">
        <f>WORKDAY(F918,H918-1,)</f>
        <v>46367</v>
      </c>
      <c r="H918" s="31">
        <v>10</v>
      </c>
      <c r="I918" s="128">
        <v>5</v>
      </c>
    </row>
    <row r="919" spans="1:9">
      <c r="A919" s="31" t="s">
        <v>125</v>
      </c>
      <c r="B919" s="31" t="s">
        <v>117</v>
      </c>
      <c r="C919" s="30"/>
      <c r="D919" s="31" t="s">
        <v>40</v>
      </c>
      <c r="E919" s="31"/>
      <c r="F919" s="32">
        <f>WORKDAY(G917,1)</f>
        <v>46356</v>
      </c>
      <c r="G919" s="32">
        <f t="shared" ref="G919:G931" si="120">WORKDAY(F919,H919-1,)</f>
        <v>46367</v>
      </c>
      <c r="H919" s="31">
        <v>10</v>
      </c>
      <c r="I919" s="128"/>
    </row>
    <row r="920" spans="1:9">
      <c r="A920" s="31" t="s">
        <v>125</v>
      </c>
      <c r="B920" s="31" t="s">
        <v>117</v>
      </c>
      <c r="C920" s="30"/>
      <c r="D920" s="31" t="s">
        <v>42</v>
      </c>
      <c r="E920" s="31"/>
      <c r="F920" s="32">
        <f>WORKDAY(G917,1)</f>
        <v>46356</v>
      </c>
      <c r="G920" s="32">
        <f t="shared" si="120"/>
        <v>46367</v>
      </c>
      <c r="H920" s="31">
        <v>10</v>
      </c>
      <c r="I920" s="128"/>
    </row>
    <row r="921" spans="1:9">
      <c r="A921" s="31" t="s">
        <v>125</v>
      </c>
      <c r="B921" s="31" t="s">
        <v>117</v>
      </c>
      <c r="C921" s="30"/>
      <c r="D921" s="31" t="s">
        <v>44</v>
      </c>
      <c r="E921" s="31"/>
      <c r="F921" s="32">
        <f>WORKDAY(G917,1)</f>
        <v>46356</v>
      </c>
      <c r="G921" s="32">
        <f t="shared" si="120"/>
        <v>46367</v>
      </c>
      <c r="H921" s="31">
        <v>10</v>
      </c>
      <c r="I921" s="128"/>
    </row>
    <row r="922" spans="1:9">
      <c r="A922" s="31" t="s">
        <v>125</v>
      </c>
      <c r="B922" s="31" t="s">
        <v>117</v>
      </c>
      <c r="C922" s="30"/>
      <c r="D922" s="31" t="s">
        <v>45</v>
      </c>
      <c r="E922" s="31"/>
      <c r="F922" s="32">
        <f>WORKDAY(G917,1)</f>
        <v>46356</v>
      </c>
      <c r="G922" s="32">
        <f t="shared" si="120"/>
        <v>46367</v>
      </c>
      <c r="H922" s="31">
        <v>10</v>
      </c>
      <c r="I922" s="31">
        <v>5</v>
      </c>
    </row>
    <row r="923" spans="1:9">
      <c r="A923" s="25" t="s">
        <v>125</v>
      </c>
      <c r="B923" s="25" t="s">
        <v>117</v>
      </c>
      <c r="C923" s="105"/>
      <c r="D923" s="26" t="s">
        <v>47</v>
      </c>
      <c r="E923" s="26"/>
      <c r="F923" s="27">
        <f>WORKDAY(G922,-4)</f>
        <v>46363</v>
      </c>
      <c r="G923" s="28">
        <f t="shared" si="120"/>
        <v>46374</v>
      </c>
      <c r="H923" s="26">
        <v>10</v>
      </c>
      <c r="I923" s="26">
        <v>11</v>
      </c>
    </row>
    <row r="924" spans="1:9">
      <c r="A924" s="77" t="s">
        <v>125</v>
      </c>
      <c r="B924" s="77" t="s">
        <v>117</v>
      </c>
      <c r="C924" s="98"/>
      <c r="D924" s="42" t="s">
        <v>50</v>
      </c>
      <c r="E924" s="42"/>
      <c r="F924" s="43">
        <f>WORKDAY(G922,1)</f>
        <v>46370</v>
      </c>
      <c r="G924" s="44">
        <f t="shared" si="120"/>
        <v>46370</v>
      </c>
      <c r="H924" s="42">
        <v>1</v>
      </c>
      <c r="I924" s="42">
        <v>0</v>
      </c>
    </row>
    <row r="925" spans="1:9">
      <c r="A925" s="21" t="s">
        <v>125</v>
      </c>
      <c r="B925" s="21" t="s">
        <v>117</v>
      </c>
      <c r="C925" s="20"/>
      <c r="D925" s="47" t="s">
        <v>52</v>
      </c>
      <c r="E925" s="47"/>
      <c r="F925" s="48">
        <f>WORKDAY(G923,1)</f>
        <v>46377</v>
      </c>
      <c r="G925" s="22">
        <f t="shared" si="120"/>
        <v>46388</v>
      </c>
      <c r="H925" s="47">
        <v>10</v>
      </c>
      <c r="I925" s="47">
        <v>5</v>
      </c>
    </row>
    <row r="926" spans="1:9">
      <c r="A926" s="21" t="s">
        <v>125</v>
      </c>
      <c r="B926" s="21" t="s">
        <v>117</v>
      </c>
      <c r="C926" s="20"/>
      <c r="D926" s="49" t="s">
        <v>55</v>
      </c>
      <c r="E926" s="49"/>
      <c r="F926" s="48">
        <f>WORKDAY(G923,1)</f>
        <v>46377</v>
      </c>
      <c r="G926" s="22">
        <f t="shared" si="120"/>
        <v>46388</v>
      </c>
      <c r="H926" s="47">
        <v>10</v>
      </c>
      <c r="I926" s="47">
        <v>0</v>
      </c>
    </row>
    <row r="927" spans="1:9">
      <c r="A927" s="52" t="s">
        <v>125</v>
      </c>
      <c r="B927" s="52" t="s">
        <v>117</v>
      </c>
      <c r="C927" s="51"/>
      <c r="D927" s="52" t="s">
        <v>56</v>
      </c>
      <c r="E927" s="52"/>
      <c r="F927" s="53">
        <f t="shared" ref="F927" si="121">WORKDAY(G926,1)</f>
        <v>46391</v>
      </c>
      <c r="G927" s="53">
        <f t="shared" si="120"/>
        <v>46402</v>
      </c>
      <c r="H927" s="52">
        <v>10</v>
      </c>
      <c r="I927" s="52">
        <v>7</v>
      </c>
    </row>
    <row r="928" spans="1:9">
      <c r="A928" s="52" t="s">
        <v>125</v>
      </c>
      <c r="B928" s="52" t="s">
        <v>117</v>
      </c>
      <c r="C928" s="51"/>
      <c r="D928" s="52" t="s">
        <v>59</v>
      </c>
      <c r="E928" s="52"/>
      <c r="F928" s="53">
        <f>WORKDAY(G926,1)</f>
        <v>46391</v>
      </c>
      <c r="G928" s="53">
        <f t="shared" si="120"/>
        <v>46391</v>
      </c>
      <c r="H928" s="52">
        <v>1</v>
      </c>
      <c r="I928" s="52">
        <v>5</v>
      </c>
    </row>
    <row r="929" spans="1:9">
      <c r="A929" s="56" t="s">
        <v>125</v>
      </c>
      <c r="B929" s="56" t="s">
        <v>117</v>
      </c>
      <c r="C929" s="55"/>
      <c r="D929" s="56" t="s">
        <v>62</v>
      </c>
      <c r="E929" s="56"/>
      <c r="F929" s="57">
        <f>WORKDAY(G927,-4)</f>
        <v>46398</v>
      </c>
      <c r="G929" s="57">
        <f t="shared" si="120"/>
        <v>46409</v>
      </c>
      <c r="H929" s="56">
        <v>10</v>
      </c>
      <c r="I929" s="56">
        <v>10</v>
      </c>
    </row>
    <row r="930" spans="1:9">
      <c r="A930" s="56" t="s">
        <v>125</v>
      </c>
      <c r="B930" s="56" t="s">
        <v>117</v>
      </c>
      <c r="C930" s="55"/>
      <c r="D930" s="56" t="s">
        <v>64</v>
      </c>
      <c r="E930" s="56"/>
      <c r="F930" s="57">
        <f>WORKDAY(F929,1)</f>
        <v>46399</v>
      </c>
      <c r="G930" s="57">
        <f t="shared" si="120"/>
        <v>46409</v>
      </c>
      <c r="H930" s="56">
        <v>9</v>
      </c>
      <c r="I930" s="56">
        <v>0</v>
      </c>
    </row>
    <row r="931" spans="1:9">
      <c r="A931" s="31" t="s">
        <v>125</v>
      </c>
      <c r="B931" s="31" t="s">
        <v>117</v>
      </c>
      <c r="C931" s="30"/>
      <c r="D931" s="58" t="s">
        <v>65</v>
      </c>
      <c r="E931" s="58"/>
      <c r="F931" s="59">
        <f>WORKDAY(G929,1)</f>
        <v>46412</v>
      </c>
      <c r="G931" s="32">
        <f t="shared" si="120"/>
        <v>46423</v>
      </c>
      <c r="H931" s="58">
        <v>10</v>
      </c>
      <c r="I931" s="58">
        <v>4</v>
      </c>
    </row>
    <row r="932" spans="1:9">
      <c r="A932" s="106" t="s">
        <v>125</v>
      </c>
      <c r="B932" s="107" t="s">
        <v>117</v>
      </c>
      <c r="C932" s="108"/>
      <c r="D932" s="64" t="s">
        <v>68</v>
      </c>
      <c r="E932" s="64"/>
      <c r="F932" s="65">
        <f>WORKDAY(G931,1)</f>
        <v>46426</v>
      </c>
      <c r="G932" s="65">
        <f>WORKDAY(F932,H932-1,)</f>
        <v>46437</v>
      </c>
      <c r="H932" s="64">
        <v>10</v>
      </c>
      <c r="I932" s="130">
        <v>4</v>
      </c>
    </row>
    <row r="933" spans="1:9">
      <c r="A933" s="106" t="s">
        <v>125</v>
      </c>
      <c r="B933" s="107" t="s">
        <v>117</v>
      </c>
      <c r="C933" s="108"/>
      <c r="D933" s="64" t="s">
        <v>71</v>
      </c>
      <c r="E933" s="64"/>
      <c r="F933" s="65">
        <f>WORKDAY(G931,1)</f>
        <v>46426</v>
      </c>
      <c r="G933" s="65">
        <f t="shared" ref="G933:G935" si="122">WORKDAY(F932,H932-1,)</f>
        <v>46437</v>
      </c>
      <c r="H933" s="64">
        <v>10</v>
      </c>
      <c r="I933" s="130"/>
    </row>
    <row r="934" spans="1:9">
      <c r="A934" s="106" t="s">
        <v>125</v>
      </c>
      <c r="B934" s="107" t="s">
        <v>117</v>
      </c>
      <c r="C934" s="108"/>
      <c r="D934" s="64" t="s">
        <v>72</v>
      </c>
      <c r="E934" s="64"/>
      <c r="F934" s="65">
        <f>WORKDAY(G931,1)</f>
        <v>46426</v>
      </c>
      <c r="G934" s="65">
        <f t="shared" si="122"/>
        <v>46437</v>
      </c>
      <c r="H934" s="64">
        <v>10</v>
      </c>
      <c r="I934" s="130"/>
    </row>
    <row r="935" spans="1:9">
      <c r="A935" s="106" t="s">
        <v>125</v>
      </c>
      <c r="B935" s="107" t="s">
        <v>117</v>
      </c>
      <c r="C935" s="108"/>
      <c r="D935" s="64" t="s">
        <v>73</v>
      </c>
      <c r="E935" s="64"/>
      <c r="F935" s="65">
        <f>WORKDAY(G931,1)</f>
        <v>46426</v>
      </c>
      <c r="G935" s="65">
        <f t="shared" si="122"/>
        <v>46437</v>
      </c>
      <c r="H935" s="64">
        <v>10</v>
      </c>
      <c r="I935" s="130"/>
    </row>
    <row r="936" spans="1:9">
      <c r="A936" s="107" t="s">
        <v>125</v>
      </c>
      <c r="B936" s="107" t="s">
        <v>117</v>
      </c>
      <c r="C936" s="108"/>
      <c r="D936" s="64" t="s">
        <v>74</v>
      </c>
      <c r="E936" s="64"/>
      <c r="F936" s="65">
        <f>WORKDAY(G931,1)</f>
        <v>46426</v>
      </c>
      <c r="G936" s="66">
        <f>WORKDAY(F936,H936-1,)</f>
        <v>46437</v>
      </c>
      <c r="H936" s="64">
        <v>10</v>
      </c>
      <c r="I936" s="64">
        <v>6</v>
      </c>
    </row>
    <row r="937" spans="1:9">
      <c r="A937" s="107" t="s">
        <v>125</v>
      </c>
      <c r="B937" s="107" t="s">
        <v>117</v>
      </c>
      <c r="C937" s="108"/>
      <c r="D937" s="64" t="s">
        <v>77</v>
      </c>
      <c r="E937" s="64"/>
      <c r="F937" s="65">
        <f>WORKDAY(G931,1)</f>
        <v>46426</v>
      </c>
      <c r="G937" s="66">
        <f t="shared" ref="G937:G959" si="123">WORKDAY(F937,H937-1,)</f>
        <v>46437</v>
      </c>
      <c r="H937" s="64">
        <v>10</v>
      </c>
      <c r="I937" s="64">
        <v>1</v>
      </c>
    </row>
    <row r="938" spans="1:9">
      <c r="A938" s="107" t="s">
        <v>125</v>
      </c>
      <c r="B938" s="107" t="s">
        <v>117</v>
      </c>
      <c r="C938" s="108"/>
      <c r="D938" s="64" t="s">
        <v>80</v>
      </c>
      <c r="E938" s="64"/>
      <c r="F938" s="65">
        <f>WORKDAY(G931,1)</f>
        <v>46426</v>
      </c>
      <c r="G938" s="66">
        <f t="shared" si="123"/>
        <v>46437</v>
      </c>
      <c r="H938" s="64">
        <v>10</v>
      </c>
      <c r="I938" s="64">
        <v>0</v>
      </c>
    </row>
    <row r="939" spans="1:9">
      <c r="A939" s="107" t="s">
        <v>125</v>
      </c>
      <c r="B939" s="107" t="s">
        <v>117</v>
      </c>
      <c r="C939" s="108"/>
      <c r="D939" s="64" t="s">
        <v>81</v>
      </c>
      <c r="E939" s="64"/>
      <c r="F939" s="65">
        <f>WORKDAY(G931,1)</f>
        <v>46426</v>
      </c>
      <c r="G939" s="66">
        <f t="shared" si="123"/>
        <v>46437</v>
      </c>
      <c r="H939" s="64">
        <v>10</v>
      </c>
      <c r="I939" s="64">
        <v>4</v>
      </c>
    </row>
    <row r="940" spans="1:9">
      <c r="A940" s="70" t="s">
        <v>125</v>
      </c>
      <c r="B940" s="70" t="s">
        <v>117</v>
      </c>
      <c r="C940" s="69"/>
      <c r="D940" s="70" t="s">
        <v>82</v>
      </c>
      <c r="E940" s="70"/>
      <c r="F940" s="71">
        <f t="shared" ref="F940" si="124">WORKDAY(G939,1)</f>
        <v>46440</v>
      </c>
      <c r="G940" s="71">
        <f t="shared" si="123"/>
        <v>46451</v>
      </c>
      <c r="H940" s="70">
        <v>10</v>
      </c>
      <c r="I940" s="70">
        <v>4</v>
      </c>
    </row>
    <row r="941" spans="1:9">
      <c r="A941" s="77" t="s">
        <v>125</v>
      </c>
      <c r="B941" s="77" t="s">
        <v>117</v>
      </c>
      <c r="C941" s="98"/>
      <c r="D941" s="75" t="s">
        <v>85</v>
      </c>
      <c r="E941" s="75"/>
      <c r="F941" s="76">
        <f>WORKDAY(G940,-1)</f>
        <v>46450</v>
      </c>
      <c r="G941" s="44">
        <f t="shared" si="123"/>
        <v>46454</v>
      </c>
      <c r="H941" s="75">
        <v>3</v>
      </c>
      <c r="I941" s="75">
        <v>12</v>
      </c>
    </row>
    <row r="942" spans="1:9">
      <c r="A942" s="77" t="s">
        <v>125</v>
      </c>
      <c r="B942" s="77" t="s">
        <v>117</v>
      </c>
      <c r="C942" s="98"/>
      <c r="D942" s="75" t="s">
        <v>86</v>
      </c>
      <c r="E942" s="75"/>
      <c r="F942" s="76">
        <f>WORKDAY(G940,1)</f>
        <v>46454</v>
      </c>
      <c r="G942" s="44">
        <f t="shared" si="123"/>
        <v>46465</v>
      </c>
      <c r="H942" s="75">
        <v>10</v>
      </c>
      <c r="I942" s="75">
        <v>0</v>
      </c>
    </row>
    <row r="943" spans="1:9">
      <c r="A943" s="78" t="s">
        <v>125</v>
      </c>
      <c r="B943" s="78" t="s">
        <v>117</v>
      </c>
      <c r="C943" s="109"/>
      <c r="D943" s="79" t="s">
        <v>87</v>
      </c>
      <c r="E943" s="79"/>
      <c r="F943" s="81">
        <f>WORKDAY(F941,4)</f>
        <v>46456</v>
      </c>
      <c r="G943" s="82">
        <f t="shared" si="123"/>
        <v>46469</v>
      </c>
      <c r="H943" s="79">
        <v>10</v>
      </c>
      <c r="I943" s="79">
        <v>4</v>
      </c>
    </row>
    <row r="944" spans="1:9">
      <c r="A944" s="83" t="s">
        <v>125</v>
      </c>
      <c r="B944" s="83" t="s">
        <v>117</v>
      </c>
      <c r="C944" s="84"/>
      <c r="D944" s="83" t="s">
        <v>89</v>
      </c>
      <c r="E944" s="83"/>
      <c r="F944" s="85">
        <f>WORKDAY(F943,3)</f>
        <v>46461</v>
      </c>
      <c r="G944" s="85">
        <f t="shared" si="123"/>
        <v>46472</v>
      </c>
      <c r="H944" s="83">
        <v>10</v>
      </c>
      <c r="I944" s="127">
        <v>1</v>
      </c>
    </row>
    <row r="945" spans="1:9">
      <c r="A945" s="83" t="s">
        <v>125</v>
      </c>
      <c r="B945" s="83" t="s">
        <v>117</v>
      </c>
      <c r="C945" s="84"/>
      <c r="D945" s="83" t="s">
        <v>91</v>
      </c>
      <c r="E945" s="83"/>
      <c r="F945" s="85">
        <f>WORKDAY(F943,3)</f>
        <v>46461</v>
      </c>
      <c r="G945" s="85">
        <f t="shared" si="123"/>
        <v>46472</v>
      </c>
      <c r="H945" s="83">
        <v>10</v>
      </c>
      <c r="I945" s="127"/>
    </row>
    <row r="946" spans="1:9">
      <c r="A946" s="83" t="s">
        <v>125</v>
      </c>
      <c r="B946" s="83" t="s">
        <v>117</v>
      </c>
      <c r="C946" s="84"/>
      <c r="D946" s="83" t="s">
        <v>92</v>
      </c>
      <c r="E946" s="83"/>
      <c r="F946" s="85">
        <f>WORKDAY(F943,3)</f>
        <v>46461</v>
      </c>
      <c r="G946" s="85">
        <f t="shared" si="123"/>
        <v>46472</v>
      </c>
      <c r="H946" s="83">
        <v>10</v>
      </c>
      <c r="I946" s="127"/>
    </row>
    <row r="947" spans="1:9">
      <c r="A947" s="83" t="s">
        <v>125</v>
      </c>
      <c r="B947" s="83" t="s">
        <v>117</v>
      </c>
      <c r="C947" s="84"/>
      <c r="D947" s="83" t="s">
        <v>93</v>
      </c>
      <c r="E947" s="83"/>
      <c r="F947" s="85">
        <f>WORKDAY(F943,3)</f>
        <v>46461</v>
      </c>
      <c r="G947" s="85">
        <f t="shared" si="123"/>
        <v>46472</v>
      </c>
      <c r="H947" s="83">
        <v>10</v>
      </c>
      <c r="I947" s="127"/>
    </row>
    <row r="948" spans="1:9">
      <c r="A948" s="83" t="s">
        <v>125</v>
      </c>
      <c r="B948" s="83" t="s">
        <v>117</v>
      </c>
      <c r="C948" s="84"/>
      <c r="D948" s="83" t="s">
        <v>94</v>
      </c>
      <c r="E948" s="83"/>
      <c r="F948" s="85">
        <f>WORKDAY(F943,3)</f>
        <v>46461</v>
      </c>
      <c r="G948" s="85">
        <f t="shared" si="123"/>
        <v>46472</v>
      </c>
      <c r="H948" s="83">
        <v>10</v>
      </c>
      <c r="I948" s="83">
        <v>1</v>
      </c>
    </row>
    <row r="949" spans="1:9">
      <c r="A949" s="86" t="s">
        <v>125</v>
      </c>
      <c r="B949" s="86" t="s">
        <v>117</v>
      </c>
      <c r="C949" s="87"/>
      <c r="D949" s="86" t="s">
        <v>95</v>
      </c>
      <c r="E949" s="86"/>
      <c r="F949" s="88">
        <f>WORKDAY(F948,3)</f>
        <v>46464</v>
      </c>
      <c r="G949" s="88">
        <f t="shared" si="123"/>
        <v>46472</v>
      </c>
      <c r="H949" s="86">
        <v>7</v>
      </c>
      <c r="I949" s="86">
        <v>0</v>
      </c>
    </row>
    <row r="950" spans="1:9">
      <c r="A950" s="89" t="s">
        <v>125</v>
      </c>
      <c r="B950" s="89" t="s">
        <v>117</v>
      </c>
      <c r="C950" s="90"/>
      <c r="D950" s="89" t="s">
        <v>96</v>
      </c>
      <c r="E950" s="89"/>
      <c r="F950" s="91">
        <f>WORKDAY(F949,2)</f>
        <v>46468</v>
      </c>
      <c r="G950" s="91">
        <f t="shared" si="123"/>
        <v>46479</v>
      </c>
      <c r="H950" s="89">
        <v>10</v>
      </c>
      <c r="I950" s="89">
        <v>2</v>
      </c>
    </row>
    <row r="951" spans="1:9">
      <c r="A951" s="89" t="s">
        <v>125</v>
      </c>
      <c r="B951" s="89" t="s">
        <v>117</v>
      </c>
      <c r="C951" s="90"/>
      <c r="D951" s="89" t="s">
        <v>98</v>
      </c>
      <c r="E951" s="89"/>
      <c r="F951" s="91">
        <f>WORKDAY(F949,2)</f>
        <v>46468</v>
      </c>
      <c r="G951" s="91">
        <f t="shared" si="123"/>
        <v>46479</v>
      </c>
      <c r="H951" s="89">
        <v>10</v>
      </c>
      <c r="I951" s="89">
        <v>9</v>
      </c>
    </row>
    <row r="952" spans="1:9">
      <c r="A952" s="89" t="s">
        <v>125</v>
      </c>
      <c r="B952" s="89" t="s">
        <v>117</v>
      </c>
      <c r="C952" s="90"/>
      <c r="D952" s="89" t="s">
        <v>101</v>
      </c>
      <c r="E952" s="89"/>
      <c r="F952" s="91">
        <f>WORKDAY(F949,2)</f>
        <v>46468</v>
      </c>
      <c r="G952" s="91">
        <f t="shared" si="123"/>
        <v>46479</v>
      </c>
      <c r="H952" s="89">
        <v>10</v>
      </c>
      <c r="I952" s="89">
        <v>0</v>
      </c>
    </row>
    <row r="953" spans="1:9">
      <c r="A953" s="38" t="s">
        <v>125</v>
      </c>
      <c r="B953" s="38" t="s">
        <v>117</v>
      </c>
      <c r="C953" s="92"/>
      <c r="D953" s="38" t="s">
        <v>103</v>
      </c>
      <c r="E953" s="38"/>
      <c r="F953" s="93">
        <f>WORKDAY(G951,-4)</f>
        <v>46475</v>
      </c>
      <c r="G953" s="93">
        <f t="shared" si="123"/>
        <v>46477</v>
      </c>
      <c r="H953" s="38">
        <v>3</v>
      </c>
      <c r="I953" s="38">
        <v>0</v>
      </c>
    </row>
    <row r="954" spans="1:9">
      <c r="A954" s="38" t="s">
        <v>125</v>
      </c>
      <c r="B954" s="38" t="s">
        <v>117</v>
      </c>
      <c r="C954" s="92"/>
      <c r="D954" s="38" t="s">
        <v>106</v>
      </c>
      <c r="E954" s="38"/>
      <c r="F954" s="93">
        <f>WORKDAY(G951,-4)</f>
        <v>46475</v>
      </c>
      <c r="G954" s="93">
        <f t="shared" si="123"/>
        <v>46486</v>
      </c>
      <c r="H954" s="38">
        <v>10</v>
      </c>
      <c r="I954" s="38">
        <v>10</v>
      </c>
    </row>
    <row r="955" spans="1:9">
      <c r="A955" s="38" t="s">
        <v>125</v>
      </c>
      <c r="B955" s="38" t="s">
        <v>117</v>
      </c>
      <c r="C955" s="92"/>
      <c r="D955" s="38" t="s">
        <v>108</v>
      </c>
      <c r="E955" s="38"/>
      <c r="F955" s="93">
        <f>WORKDAY(G951,-4)</f>
        <v>46475</v>
      </c>
      <c r="G955" s="93">
        <f t="shared" si="123"/>
        <v>46486</v>
      </c>
      <c r="H955" s="38">
        <v>10</v>
      </c>
      <c r="I955" s="38">
        <v>6</v>
      </c>
    </row>
    <row r="956" spans="1:9">
      <c r="A956" s="94" t="s">
        <v>125</v>
      </c>
      <c r="B956" s="94" t="s">
        <v>117</v>
      </c>
      <c r="C956" s="95"/>
      <c r="D956" s="96" t="s">
        <v>109</v>
      </c>
      <c r="E956" s="96"/>
      <c r="F956" s="97">
        <f>WORKDAY(G951,1)</f>
        <v>46482</v>
      </c>
      <c r="G956" s="97">
        <f t="shared" si="123"/>
        <v>46493</v>
      </c>
      <c r="H956" s="94">
        <v>10</v>
      </c>
      <c r="I956" s="94">
        <v>0</v>
      </c>
    </row>
    <row r="957" spans="1:9">
      <c r="A957" s="94" t="s">
        <v>125</v>
      </c>
      <c r="B957" s="94" t="s">
        <v>117</v>
      </c>
      <c r="C957" s="95"/>
      <c r="D957" s="96" t="s">
        <v>112</v>
      </c>
      <c r="E957" s="96"/>
      <c r="F957" s="97">
        <f>WORKDAY(G951,1)</f>
        <v>46482</v>
      </c>
      <c r="G957" s="97">
        <f t="shared" si="123"/>
        <v>46493</v>
      </c>
      <c r="H957" s="94">
        <v>10</v>
      </c>
      <c r="I957" s="94">
        <v>0</v>
      </c>
    </row>
    <row r="958" spans="1:9">
      <c r="A958" s="77" t="s">
        <v>125</v>
      </c>
      <c r="B958" s="77" t="s">
        <v>117</v>
      </c>
      <c r="C958" s="98"/>
      <c r="D958" s="77" t="s">
        <v>113</v>
      </c>
      <c r="E958" s="77"/>
      <c r="F958" s="44">
        <f>WORKDAY(G956,-4)</f>
        <v>46489</v>
      </c>
      <c r="G958" s="44">
        <f t="shared" si="123"/>
        <v>46493</v>
      </c>
      <c r="H958" s="77">
        <v>5</v>
      </c>
      <c r="I958" s="77">
        <v>1</v>
      </c>
    </row>
    <row r="959" spans="1:9">
      <c r="A959" s="77" t="s">
        <v>125</v>
      </c>
      <c r="B959" s="77" t="s">
        <v>117</v>
      </c>
      <c r="C959" s="98"/>
      <c r="D959" s="77" t="s">
        <v>116</v>
      </c>
      <c r="E959" s="77"/>
      <c r="F959" s="44">
        <f>WORKDAY(G956,-4)</f>
        <v>46489</v>
      </c>
      <c r="G959" s="44">
        <f t="shared" si="123"/>
        <v>46493</v>
      </c>
      <c r="H959" s="77">
        <v>5</v>
      </c>
      <c r="I959" s="77">
        <v>0</v>
      </c>
    </row>
    <row r="960" spans="1:9">
      <c r="A960" s="5" t="s">
        <v>125</v>
      </c>
      <c r="B960" s="99" t="s">
        <v>118</v>
      </c>
      <c r="C960" s="100"/>
      <c r="D960" s="6" t="s">
        <v>11</v>
      </c>
      <c r="E960" s="6"/>
      <c r="F960" s="8">
        <f>WORKDAY(G909,1)</f>
        <v>46335</v>
      </c>
      <c r="G960" s="8">
        <f>WORKDAY(F960,H960-1,)</f>
        <v>46346</v>
      </c>
      <c r="H960" s="6">
        <v>10</v>
      </c>
      <c r="I960" s="6">
        <v>36</v>
      </c>
    </row>
    <row r="961" spans="1:9">
      <c r="A961" s="5" t="s">
        <v>125</v>
      </c>
      <c r="B961" s="99" t="s">
        <v>118</v>
      </c>
      <c r="C961" s="100"/>
      <c r="D961" s="6" t="s">
        <v>13</v>
      </c>
      <c r="E961" s="6"/>
      <c r="F961" s="8">
        <f>WORKDAY(G909,1)</f>
        <v>46335</v>
      </c>
      <c r="G961" s="8">
        <f t="shared" ref="G961" si="125">WORKDAY(F961,H961-1,)</f>
        <v>46346</v>
      </c>
      <c r="H961" s="6">
        <v>10</v>
      </c>
      <c r="I961" s="6">
        <v>1</v>
      </c>
    </row>
    <row r="962" spans="1:9">
      <c r="A962" s="5" t="s">
        <v>125</v>
      </c>
      <c r="B962" s="99" t="s">
        <v>118</v>
      </c>
      <c r="C962" s="100"/>
      <c r="D962" s="6" t="s">
        <v>15</v>
      </c>
      <c r="E962" s="6"/>
      <c r="F962" s="8">
        <f>WORKDAY(G909,1)</f>
        <v>46335</v>
      </c>
      <c r="G962" s="8">
        <f>WORKDAY(F962,H962-1,)</f>
        <v>46346</v>
      </c>
      <c r="H962" s="6">
        <v>10</v>
      </c>
      <c r="I962" s="6">
        <v>1</v>
      </c>
    </row>
    <row r="963" spans="1:9">
      <c r="A963" s="11" t="s">
        <v>125</v>
      </c>
      <c r="B963" s="101" t="s">
        <v>118</v>
      </c>
      <c r="C963" s="102"/>
      <c r="D963" s="11" t="s">
        <v>16</v>
      </c>
      <c r="E963" s="11"/>
      <c r="F963" s="12">
        <f>WORKDAY(G962,-4)</f>
        <v>46342</v>
      </c>
      <c r="G963" s="12">
        <f t="shared" ref="G963:G970" si="126">WORKDAY(F963,H963-1,)</f>
        <v>46353</v>
      </c>
      <c r="H963" s="11">
        <v>10</v>
      </c>
      <c r="I963" s="11">
        <v>5</v>
      </c>
    </row>
    <row r="964" spans="1:9">
      <c r="A964" s="11" t="s">
        <v>125</v>
      </c>
      <c r="B964" s="101" t="s">
        <v>118</v>
      </c>
      <c r="C964" s="102"/>
      <c r="D964" s="11" t="s">
        <v>18</v>
      </c>
      <c r="E964" s="11"/>
      <c r="F964" s="12">
        <f>WORKDAY(G962,-4)</f>
        <v>46342</v>
      </c>
      <c r="G964" s="12">
        <f t="shared" si="126"/>
        <v>46353</v>
      </c>
      <c r="H964" s="11">
        <v>10</v>
      </c>
      <c r="I964" s="13">
        <v>4</v>
      </c>
    </row>
    <row r="965" spans="1:9">
      <c r="A965" s="11" t="s">
        <v>125</v>
      </c>
      <c r="B965" s="101" t="s">
        <v>118</v>
      </c>
      <c r="C965" s="102"/>
      <c r="D965" s="11" t="s">
        <v>21</v>
      </c>
      <c r="E965" s="11"/>
      <c r="F965" s="12">
        <f>WORKDAY(G962,-4)</f>
        <v>46342</v>
      </c>
      <c r="G965" s="12">
        <f t="shared" si="126"/>
        <v>46353</v>
      </c>
      <c r="H965" s="11">
        <v>10</v>
      </c>
      <c r="I965" s="11">
        <v>3</v>
      </c>
    </row>
    <row r="966" spans="1:9">
      <c r="A966" s="11" t="s">
        <v>125</v>
      </c>
      <c r="B966" s="101" t="s">
        <v>118</v>
      </c>
      <c r="C966" s="102"/>
      <c r="D966" s="11" t="s">
        <v>24</v>
      </c>
      <c r="E966" s="11"/>
      <c r="F966" s="12">
        <f>WORKDAY(G962,-4)</f>
        <v>46342</v>
      </c>
      <c r="G966" s="12">
        <f t="shared" si="126"/>
        <v>46353</v>
      </c>
      <c r="H966" s="11">
        <v>10</v>
      </c>
      <c r="I966" s="11">
        <v>0</v>
      </c>
    </row>
    <row r="967" spans="1:9">
      <c r="A967" s="17" t="s">
        <v>125</v>
      </c>
      <c r="B967" s="103" t="s">
        <v>118</v>
      </c>
      <c r="C967" s="104"/>
      <c r="D967" s="17" t="s">
        <v>26</v>
      </c>
      <c r="E967" s="17"/>
      <c r="F967" s="18">
        <f>WORKDAY(G966,-4)</f>
        <v>46349</v>
      </c>
      <c r="G967" s="18">
        <f t="shared" si="126"/>
        <v>46360</v>
      </c>
      <c r="H967" s="17">
        <v>10</v>
      </c>
      <c r="I967" s="17">
        <v>2</v>
      </c>
    </row>
    <row r="968" spans="1:9">
      <c r="A968" s="21" t="s">
        <v>125</v>
      </c>
      <c r="B968" s="21" t="s">
        <v>118</v>
      </c>
      <c r="C968" s="20"/>
      <c r="D968" s="21" t="s">
        <v>29</v>
      </c>
      <c r="E968" s="21"/>
      <c r="F968" s="22">
        <f>WORKDAY(F967,5)</f>
        <v>46356</v>
      </c>
      <c r="G968" s="22">
        <f t="shared" si="126"/>
        <v>46360</v>
      </c>
      <c r="H968" s="21">
        <v>5</v>
      </c>
      <c r="I968" s="21">
        <v>4</v>
      </c>
    </row>
    <row r="969" spans="1:9">
      <c r="A969" s="21" t="s">
        <v>125</v>
      </c>
      <c r="B969" s="21" t="s">
        <v>118</v>
      </c>
      <c r="C969" s="20"/>
      <c r="D969" s="21" t="s">
        <v>32</v>
      </c>
      <c r="E969" s="21"/>
      <c r="F969" s="22">
        <f>WORKDAY(G967,1)</f>
        <v>46363</v>
      </c>
      <c r="G969" s="22">
        <f t="shared" si="126"/>
        <v>46367</v>
      </c>
      <c r="H969" s="21">
        <v>5</v>
      </c>
      <c r="I969" s="21">
        <v>1</v>
      </c>
    </row>
    <row r="970" spans="1:9">
      <c r="A970" s="21" t="s">
        <v>125</v>
      </c>
      <c r="B970" s="21" t="s">
        <v>118</v>
      </c>
      <c r="C970" s="20"/>
      <c r="D970" s="21" t="s">
        <v>34</v>
      </c>
      <c r="E970" s="21"/>
      <c r="F970" s="22">
        <f>WORKDAY(G964,1)</f>
        <v>46356</v>
      </c>
      <c r="G970" s="22">
        <f t="shared" si="126"/>
        <v>46367</v>
      </c>
      <c r="H970" s="21">
        <v>10</v>
      </c>
      <c r="I970" s="21">
        <v>3</v>
      </c>
    </row>
    <row r="971" spans="1:9">
      <c r="A971" s="31" t="s">
        <v>125</v>
      </c>
      <c r="B971" s="31" t="s">
        <v>118</v>
      </c>
      <c r="C971" s="30"/>
      <c r="D971" s="31" t="s">
        <v>37</v>
      </c>
      <c r="E971" s="31"/>
      <c r="F971" s="32">
        <f>WORKDAY(G970,1)</f>
        <v>46370</v>
      </c>
      <c r="G971" s="32">
        <f>WORKDAY(F971,H971-1,)</f>
        <v>46381</v>
      </c>
      <c r="H971" s="31">
        <v>10</v>
      </c>
      <c r="I971" s="128">
        <v>5</v>
      </c>
    </row>
    <row r="972" spans="1:9">
      <c r="A972" s="31" t="s">
        <v>125</v>
      </c>
      <c r="B972" s="31" t="s">
        <v>118</v>
      </c>
      <c r="C972" s="30"/>
      <c r="D972" s="31" t="s">
        <v>40</v>
      </c>
      <c r="E972" s="31"/>
      <c r="F972" s="32">
        <f>WORKDAY(G970,1)</f>
        <v>46370</v>
      </c>
      <c r="G972" s="32">
        <f t="shared" ref="G972:G984" si="127">WORKDAY(F972,H972-1,)</f>
        <v>46381</v>
      </c>
      <c r="H972" s="31">
        <v>10</v>
      </c>
      <c r="I972" s="128"/>
    </row>
    <row r="973" spans="1:9">
      <c r="A973" s="31" t="s">
        <v>125</v>
      </c>
      <c r="B973" s="31" t="s">
        <v>118</v>
      </c>
      <c r="C973" s="30"/>
      <c r="D973" s="31" t="s">
        <v>42</v>
      </c>
      <c r="E973" s="31"/>
      <c r="F973" s="32">
        <f>WORKDAY(G970,1)</f>
        <v>46370</v>
      </c>
      <c r="G973" s="32">
        <f t="shared" si="127"/>
        <v>46381</v>
      </c>
      <c r="H973" s="31">
        <v>10</v>
      </c>
      <c r="I973" s="128"/>
    </row>
    <row r="974" spans="1:9">
      <c r="A974" s="31" t="s">
        <v>125</v>
      </c>
      <c r="B974" s="31" t="s">
        <v>118</v>
      </c>
      <c r="C974" s="30"/>
      <c r="D974" s="31" t="s">
        <v>44</v>
      </c>
      <c r="E974" s="31"/>
      <c r="F974" s="32">
        <f>WORKDAY(G970,1)</f>
        <v>46370</v>
      </c>
      <c r="G974" s="32">
        <f t="shared" si="127"/>
        <v>46381</v>
      </c>
      <c r="H974" s="31">
        <v>10</v>
      </c>
      <c r="I974" s="128"/>
    </row>
    <row r="975" spans="1:9">
      <c r="A975" s="31" t="s">
        <v>125</v>
      </c>
      <c r="B975" s="31" t="s">
        <v>118</v>
      </c>
      <c r="C975" s="30"/>
      <c r="D975" s="31" t="s">
        <v>45</v>
      </c>
      <c r="E975" s="31"/>
      <c r="F975" s="32">
        <f>WORKDAY(G970,1)</f>
        <v>46370</v>
      </c>
      <c r="G975" s="32">
        <f t="shared" si="127"/>
        <v>46381</v>
      </c>
      <c r="H975" s="31">
        <v>10</v>
      </c>
      <c r="I975" s="31">
        <v>5</v>
      </c>
    </row>
    <row r="976" spans="1:9">
      <c r="A976" s="25" t="s">
        <v>125</v>
      </c>
      <c r="B976" s="25" t="s">
        <v>118</v>
      </c>
      <c r="C976" s="105"/>
      <c r="D976" s="26" t="s">
        <v>47</v>
      </c>
      <c r="E976" s="26"/>
      <c r="F976" s="27">
        <f>WORKDAY(G975,-4)</f>
        <v>46377</v>
      </c>
      <c r="G976" s="28">
        <f t="shared" si="127"/>
        <v>46388</v>
      </c>
      <c r="H976" s="26">
        <v>10</v>
      </c>
      <c r="I976" s="26">
        <v>11</v>
      </c>
    </row>
    <row r="977" spans="1:9">
      <c r="A977" s="77" t="s">
        <v>125</v>
      </c>
      <c r="B977" s="77" t="s">
        <v>118</v>
      </c>
      <c r="C977" s="98"/>
      <c r="D977" s="42" t="s">
        <v>50</v>
      </c>
      <c r="E977" s="42"/>
      <c r="F977" s="43">
        <f>WORKDAY(G975,1)</f>
        <v>46384</v>
      </c>
      <c r="G977" s="44">
        <f t="shared" si="127"/>
        <v>46384</v>
      </c>
      <c r="H977" s="42">
        <v>1</v>
      </c>
      <c r="I977" s="42">
        <v>0</v>
      </c>
    </row>
    <row r="978" spans="1:9">
      <c r="A978" s="21" t="s">
        <v>125</v>
      </c>
      <c r="B978" s="21" t="s">
        <v>118</v>
      </c>
      <c r="C978" s="20"/>
      <c r="D978" s="47" t="s">
        <v>52</v>
      </c>
      <c r="E978" s="47"/>
      <c r="F978" s="48">
        <f>WORKDAY(G976,1)</f>
        <v>46391</v>
      </c>
      <c r="G978" s="22">
        <f t="shared" si="127"/>
        <v>46402</v>
      </c>
      <c r="H978" s="47">
        <v>10</v>
      </c>
      <c r="I978" s="47">
        <v>5</v>
      </c>
    </row>
    <row r="979" spans="1:9">
      <c r="A979" s="21" t="s">
        <v>125</v>
      </c>
      <c r="B979" s="21" t="s">
        <v>118</v>
      </c>
      <c r="C979" s="20"/>
      <c r="D979" s="49" t="s">
        <v>55</v>
      </c>
      <c r="E979" s="49"/>
      <c r="F979" s="48">
        <f>WORKDAY(G976,1)</f>
        <v>46391</v>
      </c>
      <c r="G979" s="22">
        <f t="shared" si="127"/>
        <v>46402</v>
      </c>
      <c r="H979" s="47">
        <v>10</v>
      </c>
      <c r="I979" s="47">
        <v>0</v>
      </c>
    </row>
    <row r="980" spans="1:9">
      <c r="A980" s="52" t="s">
        <v>125</v>
      </c>
      <c r="B980" s="110" t="s">
        <v>118</v>
      </c>
      <c r="C980" s="111"/>
      <c r="D980" s="52" t="s">
        <v>56</v>
      </c>
      <c r="E980" s="52"/>
      <c r="F980" s="53">
        <f t="shared" ref="F980" si="128">WORKDAY(G979,1)</f>
        <v>46405</v>
      </c>
      <c r="G980" s="53">
        <f t="shared" si="127"/>
        <v>46416</v>
      </c>
      <c r="H980" s="52">
        <v>10</v>
      </c>
      <c r="I980" s="52">
        <v>7</v>
      </c>
    </row>
    <row r="981" spans="1:9">
      <c r="A981" s="52" t="s">
        <v>125</v>
      </c>
      <c r="B981" s="110" t="s">
        <v>118</v>
      </c>
      <c r="C981" s="111"/>
      <c r="D981" s="52" t="s">
        <v>59</v>
      </c>
      <c r="E981" s="52"/>
      <c r="F981" s="53">
        <f>WORKDAY(G979,1)</f>
        <v>46405</v>
      </c>
      <c r="G981" s="53">
        <f t="shared" si="127"/>
        <v>46405</v>
      </c>
      <c r="H981" s="52">
        <v>1</v>
      </c>
      <c r="I981" s="52">
        <v>5</v>
      </c>
    </row>
    <row r="982" spans="1:9">
      <c r="A982" s="56" t="s">
        <v>125</v>
      </c>
      <c r="B982" s="112" t="s">
        <v>118</v>
      </c>
      <c r="C982" s="113"/>
      <c r="D982" s="56" t="s">
        <v>62</v>
      </c>
      <c r="E982" s="56"/>
      <c r="F982" s="57">
        <f>WORKDAY(G980,-4)</f>
        <v>46412</v>
      </c>
      <c r="G982" s="57">
        <f t="shared" si="127"/>
        <v>46423</v>
      </c>
      <c r="H982" s="56">
        <v>10</v>
      </c>
      <c r="I982" s="56">
        <v>10</v>
      </c>
    </row>
    <row r="983" spans="1:9">
      <c r="A983" s="56" t="s">
        <v>125</v>
      </c>
      <c r="B983" s="112" t="s">
        <v>118</v>
      </c>
      <c r="C983" s="113"/>
      <c r="D983" s="56" t="s">
        <v>64</v>
      </c>
      <c r="E983" s="56"/>
      <c r="F983" s="57">
        <f>WORKDAY(F982,1)</f>
        <v>46413</v>
      </c>
      <c r="G983" s="57">
        <f t="shared" si="127"/>
        <v>46423</v>
      </c>
      <c r="H983" s="56">
        <v>9</v>
      </c>
      <c r="I983" s="56">
        <v>0</v>
      </c>
    </row>
    <row r="984" spans="1:9">
      <c r="A984" s="31" t="s">
        <v>125</v>
      </c>
      <c r="B984" s="31" t="s">
        <v>118</v>
      </c>
      <c r="C984" s="30"/>
      <c r="D984" s="58" t="s">
        <v>65</v>
      </c>
      <c r="E984" s="58"/>
      <c r="F984" s="59">
        <f>WORKDAY(G982,1)</f>
        <v>46426</v>
      </c>
      <c r="G984" s="32">
        <f t="shared" si="127"/>
        <v>46437</v>
      </c>
      <c r="H984" s="58">
        <v>10</v>
      </c>
      <c r="I984" s="58">
        <v>4</v>
      </c>
    </row>
    <row r="985" spans="1:9">
      <c r="A985" s="106" t="s">
        <v>125</v>
      </c>
      <c r="B985" s="107" t="s">
        <v>118</v>
      </c>
      <c r="C985" s="108"/>
      <c r="D985" s="64" t="s">
        <v>68</v>
      </c>
      <c r="E985" s="64"/>
      <c r="F985" s="65">
        <f>WORKDAY(G984,1)</f>
        <v>46440</v>
      </c>
      <c r="G985" s="65">
        <f>WORKDAY(F985,H985-1,)</f>
        <v>46451</v>
      </c>
      <c r="H985" s="64">
        <v>10</v>
      </c>
      <c r="I985" s="130">
        <v>4</v>
      </c>
    </row>
    <row r="986" spans="1:9">
      <c r="A986" s="106" t="s">
        <v>125</v>
      </c>
      <c r="B986" s="107" t="s">
        <v>118</v>
      </c>
      <c r="C986" s="108"/>
      <c r="D986" s="64" t="s">
        <v>71</v>
      </c>
      <c r="E986" s="64"/>
      <c r="F986" s="65">
        <f>WORKDAY(G984,1)</f>
        <v>46440</v>
      </c>
      <c r="G986" s="65">
        <f t="shared" ref="G986:G988" si="129">WORKDAY(F985,H985-1,)</f>
        <v>46451</v>
      </c>
      <c r="H986" s="64">
        <v>10</v>
      </c>
      <c r="I986" s="130"/>
    </row>
    <row r="987" spans="1:9">
      <c r="A987" s="106" t="s">
        <v>125</v>
      </c>
      <c r="B987" s="107" t="s">
        <v>118</v>
      </c>
      <c r="C987" s="108"/>
      <c r="D987" s="64" t="s">
        <v>72</v>
      </c>
      <c r="E987" s="64"/>
      <c r="F987" s="65">
        <f>WORKDAY(G984,1)</f>
        <v>46440</v>
      </c>
      <c r="G987" s="65">
        <f t="shared" si="129"/>
        <v>46451</v>
      </c>
      <c r="H987" s="64">
        <v>10</v>
      </c>
      <c r="I987" s="130"/>
    </row>
    <row r="988" spans="1:9">
      <c r="A988" s="106" t="s">
        <v>125</v>
      </c>
      <c r="B988" s="107" t="s">
        <v>118</v>
      </c>
      <c r="C988" s="108"/>
      <c r="D988" s="64" t="s">
        <v>73</v>
      </c>
      <c r="E988" s="64"/>
      <c r="F988" s="65">
        <f>WORKDAY(G984,1)</f>
        <v>46440</v>
      </c>
      <c r="G988" s="65">
        <f t="shared" si="129"/>
        <v>46451</v>
      </c>
      <c r="H988" s="64">
        <v>10</v>
      </c>
      <c r="I988" s="130"/>
    </row>
    <row r="989" spans="1:9">
      <c r="A989" s="107" t="s">
        <v>125</v>
      </c>
      <c r="B989" s="107" t="s">
        <v>118</v>
      </c>
      <c r="C989" s="108"/>
      <c r="D989" s="64" t="s">
        <v>74</v>
      </c>
      <c r="E989" s="64"/>
      <c r="F989" s="65">
        <f>WORKDAY(G984,1)</f>
        <v>46440</v>
      </c>
      <c r="G989" s="66">
        <f>WORKDAY(F989,H989-1,)</f>
        <v>46451</v>
      </c>
      <c r="H989" s="64">
        <v>10</v>
      </c>
      <c r="I989" s="64">
        <v>6</v>
      </c>
    </row>
    <row r="990" spans="1:9">
      <c r="A990" s="107" t="s">
        <v>125</v>
      </c>
      <c r="B990" s="107" t="s">
        <v>118</v>
      </c>
      <c r="C990" s="108"/>
      <c r="D990" s="64" t="s">
        <v>77</v>
      </c>
      <c r="E990" s="64"/>
      <c r="F990" s="65">
        <f>WORKDAY(G984,1)</f>
        <v>46440</v>
      </c>
      <c r="G990" s="66">
        <f t="shared" ref="G990:G1012" si="130">WORKDAY(F990,H990-1,)</f>
        <v>46451</v>
      </c>
      <c r="H990" s="64">
        <v>10</v>
      </c>
      <c r="I990" s="64">
        <v>1</v>
      </c>
    </row>
    <row r="991" spans="1:9">
      <c r="A991" s="107" t="s">
        <v>125</v>
      </c>
      <c r="B991" s="107" t="s">
        <v>118</v>
      </c>
      <c r="C991" s="108"/>
      <c r="D991" s="64" t="s">
        <v>80</v>
      </c>
      <c r="E991" s="64"/>
      <c r="F991" s="65">
        <f>WORKDAY(G984,1)</f>
        <v>46440</v>
      </c>
      <c r="G991" s="66">
        <f t="shared" si="130"/>
        <v>46451</v>
      </c>
      <c r="H991" s="64">
        <v>10</v>
      </c>
      <c r="I991" s="64">
        <v>0</v>
      </c>
    </row>
    <row r="992" spans="1:9">
      <c r="A992" s="107" t="s">
        <v>125</v>
      </c>
      <c r="B992" s="107" t="s">
        <v>118</v>
      </c>
      <c r="C992" s="108"/>
      <c r="D992" s="64" t="s">
        <v>81</v>
      </c>
      <c r="E992" s="64"/>
      <c r="F992" s="65">
        <f>WORKDAY(G984,1)</f>
        <v>46440</v>
      </c>
      <c r="G992" s="66">
        <f t="shared" si="130"/>
        <v>46451</v>
      </c>
      <c r="H992" s="64">
        <v>10</v>
      </c>
      <c r="I992" s="64">
        <v>4</v>
      </c>
    </row>
    <row r="993" spans="1:9">
      <c r="A993" s="123" t="s">
        <v>125</v>
      </c>
      <c r="B993" s="70" t="s">
        <v>118</v>
      </c>
      <c r="C993" s="69"/>
      <c r="D993" s="70" t="s">
        <v>82</v>
      </c>
      <c r="E993" s="70"/>
      <c r="F993" s="71">
        <f t="shared" ref="F993" si="131">WORKDAY(G992,1)</f>
        <v>46454</v>
      </c>
      <c r="G993" s="71">
        <f t="shared" si="130"/>
        <v>46465</v>
      </c>
      <c r="H993" s="70">
        <v>10</v>
      </c>
      <c r="I993" s="70">
        <v>4</v>
      </c>
    </row>
    <row r="994" spans="1:9">
      <c r="A994" s="77" t="s">
        <v>125</v>
      </c>
      <c r="B994" s="77" t="s">
        <v>118</v>
      </c>
      <c r="C994" s="98"/>
      <c r="D994" s="75" t="s">
        <v>85</v>
      </c>
      <c r="E994" s="75"/>
      <c r="F994" s="76">
        <f>WORKDAY(G993,-1)</f>
        <v>46464</v>
      </c>
      <c r="G994" s="44">
        <f t="shared" si="130"/>
        <v>46468</v>
      </c>
      <c r="H994" s="75">
        <v>3</v>
      </c>
      <c r="I994" s="75">
        <v>12</v>
      </c>
    </row>
    <row r="995" spans="1:9">
      <c r="A995" s="77" t="s">
        <v>125</v>
      </c>
      <c r="B995" s="77" t="s">
        <v>118</v>
      </c>
      <c r="C995" s="98"/>
      <c r="D995" s="75" t="s">
        <v>86</v>
      </c>
      <c r="E995" s="75"/>
      <c r="F995" s="76">
        <f>WORKDAY(G993,1)</f>
        <v>46468</v>
      </c>
      <c r="G995" s="44">
        <f t="shared" si="130"/>
        <v>46479</v>
      </c>
      <c r="H995" s="75">
        <v>10</v>
      </c>
      <c r="I995" s="75">
        <v>0</v>
      </c>
    </row>
    <row r="996" spans="1:9">
      <c r="A996" s="122" t="s">
        <v>125</v>
      </c>
      <c r="B996" s="78" t="s">
        <v>118</v>
      </c>
      <c r="C996" s="109"/>
      <c r="D996" s="79" t="s">
        <v>87</v>
      </c>
      <c r="E996" s="79"/>
      <c r="F996" s="81">
        <f>WORKDAY(F994,4)</f>
        <v>46470</v>
      </c>
      <c r="G996" s="82">
        <f t="shared" si="130"/>
        <v>46483</v>
      </c>
      <c r="H996" s="79">
        <v>10</v>
      </c>
      <c r="I996" s="79">
        <v>4</v>
      </c>
    </row>
    <row r="997" spans="1:9">
      <c r="A997" s="83" t="s">
        <v>125</v>
      </c>
      <c r="B997" s="114" t="s">
        <v>118</v>
      </c>
      <c r="C997" s="115"/>
      <c r="D997" s="83" t="s">
        <v>89</v>
      </c>
      <c r="E997" s="83"/>
      <c r="F997" s="85">
        <f>WORKDAY(F996,3)</f>
        <v>46475</v>
      </c>
      <c r="G997" s="85">
        <f t="shared" si="130"/>
        <v>46486</v>
      </c>
      <c r="H997" s="83">
        <v>10</v>
      </c>
      <c r="I997" s="127">
        <v>1</v>
      </c>
    </row>
    <row r="998" spans="1:9">
      <c r="A998" s="83" t="s">
        <v>125</v>
      </c>
      <c r="B998" s="114" t="s">
        <v>118</v>
      </c>
      <c r="C998" s="115"/>
      <c r="D998" s="83" t="s">
        <v>91</v>
      </c>
      <c r="E998" s="83"/>
      <c r="F998" s="85">
        <f>WORKDAY(F996,3)</f>
        <v>46475</v>
      </c>
      <c r="G998" s="85">
        <f t="shared" si="130"/>
        <v>46486</v>
      </c>
      <c r="H998" s="83">
        <v>10</v>
      </c>
      <c r="I998" s="127"/>
    </row>
    <row r="999" spans="1:9">
      <c r="A999" s="83" t="s">
        <v>125</v>
      </c>
      <c r="B999" s="114" t="s">
        <v>118</v>
      </c>
      <c r="C999" s="115"/>
      <c r="D999" s="83" t="s">
        <v>92</v>
      </c>
      <c r="E999" s="83"/>
      <c r="F999" s="85">
        <f>WORKDAY(F996,3)</f>
        <v>46475</v>
      </c>
      <c r="G999" s="85">
        <f t="shared" si="130"/>
        <v>46486</v>
      </c>
      <c r="H999" s="83">
        <v>10</v>
      </c>
      <c r="I999" s="127"/>
    </row>
    <row r="1000" spans="1:9">
      <c r="A1000" s="83" t="s">
        <v>125</v>
      </c>
      <c r="B1000" s="114" t="s">
        <v>118</v>
      </c>
      <c r="C1000" s="115"/>
      <c r="D1000" s="83" t="s">
        <v>93</v>
      </c>
      <c r="E1000" s="83"/>
      <c r="F1000" s="85">
        <f>WORKDAY(F996,3)</f>
        <v>46475</v>
      </c>
      <c r="G1000" s="85">
        <f t="shared" si="130"/>
        <v>46486</v>
      </c>
      <c r="H1000" s="83">
        <v>10</v>
      </c>
      <c r="I1000" s="127"/>
    </row>
    <row r="1001" spans="1:9">
      <c r="A1001" s="83" t="s">
        <v>125</v>
      </c>
      <c r="B1001" s="114" t="s">
        <v>118</v>
      </c>
      <c r="C1001" s="115"/>
      <c r="D1001" s="83" t="s">
        <v>94</v>
      </c>
      <c r="E1001" s="83"/>
      <c r="F1001" s="85">
        <f>WORKDAY(F996,3)</f>
        <v>46475</v>
      </c>
      <c r="G1001" s="85">
        <f t="shared" si="130"/>
        <v>46486</v>
      </c>
      <c r="H1001" s="83">
        <v>10</v>
      </c>
      <c r="I1001" s="83">
        <v>1</v>
      </c>
    </row>
    <row r="1002" spans="1:9">
      <c r="A1002" s="86" t="s">
        <v>125</v>
      </c>
      <c r="B1002" s="116" t="s">
        <v>118</v>
      </c>
      <c r="C1002" s="117"/>
      <c r="D1002" s="86" t="s">
        <v>95</v>
      </c>
      <c r="E1002" s="86"/>
      <c r="F1002" s="88">
        <f>WORKDAY(F1001,3)</f>
        <v>46478</v>
      </c>
      <c r="G1002" s="88">
        <f t="shared" si="130"/>
        <v>46486</v>
      </c>
      <c r="H1002" s="86">
        <v>7</v>
      </c>
      <c r="I1002" s="86">
        <v>0</v>
      </c>
    </row>
    <row r="1003" spans="1:9">
      <c r="A1003" s="89" t="s">
        <v>125</v>
      </c>
      <c r="B1003" s="89" t="s">
        <v>118</v>
      </c>
      <c r="C1003" s="90"/>
      <c r="D1003" s="89" t="s">
        <v>96</v>
      </c>
      <c r="E1003" s="89"/>
      <c r="F1003" s="91">
        <f>WORKDAY(F1002,2)</f>
        <v>46482</v>
      </c>
      <c r="G1003" s="91">
        <f t="shared" si="130"/>
        <v>46493</v>
      </c>
      <c r="H1003" s="89">
        <v>10</v>
      </c>
      <c r="I1003" s="89">
        <v>2</v>
      </c>
    </row>
    <row r="1004" spans="1:9">
      <c r="A1004" s="89" t="s">
        <v>125</v>
      </c>
      <c r="B1004" s="89" t="s">
        <v>118</v>
      </c>
      <c r="C1004" s="90"/>
      <c r="D1004" s="89" t="s">
        <v>98</v>
      </c>
      <c r="E1004" s="89"/>
      <c r="F1004" s="91">
        <f>WORKDAY(F1002,2)</f>
        <v>46482</v>
      </c>
      <c r="G1004" s="91">
        <f t="shared" si="130"/>
        <v>46493</v>
      </c>
      <c r="H1004" s="89">
        <v>10</v>
      </c>
      <c r="I1004" s="89">
        <v>9</v>
      </c>
    </row>
    <row r="1005" spans="1:9">
      <c r="A1005" s="89" t="s">
        <v>125</v>
      </c>
      <c r="B1005" s="89" t="s">
        <v>118</v>
      </c>
      <c r="C1005" s="90"/>
      <c r="D1005" s="89" t="s">
        <v>101</v>
      </c>
      <c r="E1005" s="89"/>
      <c r="F1005" s="91">
        <f>WORKDAY(F1002,2)</f>
        <v>46482</v>
      </c>
      <c r="G1005" s="91">
        <f t="shared" si="130"/>
        <v>46493</v>
      </c>
      <c r="H1005" s="89">
        <v>10</v>
      </c>
      <c r="I1005" s="89">
        <v>0</v>
      </c>
    </row>
    <row r="1006" spans="1:9">
      <c r="A1006" s="38" t="s">
        <v>125</v>
      </c>
      <c r="B1006" s="38" t="s">
        <v>118</v>
      </c>
      <c r="C1006" s="92"/>
      <c r="D1006" s="38" t="s">
        <v>103</v>
      </c>
      <c r="E1006" s="38"/>
      <c r="F1006" s="93">
        <f>WORKDAY(G1004,-4)</f>
        <v>46489</v>
      </c>
      <c r="G1006" s="93">
        <f t="shared" si="130"/>
        <v>46491</v>
      </c>
      <c r="H1006" s="38">
        <v>3</v>
      </c>
      <c r="I1006" s="38">
        <v>0</v>
      </c>
    </row>
    <row r="1007" spans="1:9">
      <c r="A1007" s="38" t="s">
        <v>125</v>
      </c>
      <c r="B1007" s="38" t="s">
        <v>118</v>
      </c>
      <c r="C1007" s="92"/>
      <c r="D1007" s="38" t="s">
        <v>106</v>
      </c>
      <c r="E1007" s="38"/>
      <c r="F1007" s="93">
        <f>WORKDAY(G1004,-4)</f>
        <v>46489</v>
      </c>
      <c r="G1007" s="93">
        <f t="shared" si="130"/>
        <v>46500</v>
      </c>
      <c r="H1007" s="38">
        <v>10</v>
      </c>
      <c r="I1007" s="38">
        <v>10</v>
      </c>
    </row>
    <row r="1008" spans="1:9">
      <c r="A1008" s="38" t="s">
        <v>125</v>
      </c>
      <c r="B1008" s="38" t="s">
        <v>118</v>
      </c>
      <c r="C1008" s="92"/>
      <c r="D1008" s="38" t="s">
        <v>108</v>
      </c>
      <c r="E1008" s="38"/>
      <c r="F1008" s="93">
        <f>WORKDAY(G1004,-4)</f>
        <v>46489</v>
      </c>
      <c r="G1008" s="93">
        <f t="shared" si="130"/>
        <v>46500</v>
      </c>
      <c r="H1008" s="38">
        <v>10</v>
      </c>
      <c r="I1008" s="38">
        <v>6</v>
      </c>
    </row>
    <row r="1009" spans="1:9">
      <c r="A1009" s="94" t="s">
        <v>125</v>
      </c>
      <c r="B1009" s="94" t="s">
        <v>118</v>
      </c>
      <c r="C1009" s="95"/>
      <c r="D1009" s="96" t="s">
        <v>109</v>
      </c>
      <c r="E1009" s="96"/>
      <c r="F1009" s="97">
        <f>WORKDAY(G1004,1)</f>
        <v>46496</v>
      </c>
      <c r="G1009" s="97">
        <f t="shared" si="130"/>
        <v>46507</v>
      </c>
      <c r="H1009" s="94">
        <v>10</v>
      </c>
      <c r="I1009" s="94">
        <v>0</v>
      </c>
    </row>
    <row r="1010" spans="1:9">
      <c r="A1010" s="94" t="s">
        <v>125</v>
      </c>
      <c r="B1010" s="94" t="s">
        <v>118</v>
      </c>
      <c r="C1010" s="95"/>
      <c r="D1010" s="96" t="s">
        <v>112</v>
      </c>
      <c r="E1010" s="96"/>
      <c r="F1010" s="97">
        <f>WORKDAY(G1004,1)</f>
        <v>46496</v>
      </c>
      <c r="G1010" s="97">
        <f t="shared" si="130"/>
        <v>46507</v>
      </c>
      <c r="H1010" s="94">
        <v>10</v>
      </c>
      <c r="I1010" s="94">
        <v>0</v>
      </c>
    </row>
    <row r="1011" spans="1:9">
      <c r="A1011" s="77" t="s">
        <v>125</v>
      </c>
      <c r="B1011" s="77" t="s">
        <v>118</v>
      </c>
      <c r="C1011" s="98"/>
      <c r="D1011" s="77" t="s">
        <v>113</v>
      </c>
      <c r="E1011" s="77"/>
      <c r="F1011" s="44">
        <f>WORKDAY(G1009,-4)</f>
        <v>46503</v>
      </c>
      <c r="G1011" s="44">
        <f t="shared" si="130"/>
        <v>46507</v>
      </c>
      <c r="H1011" s="77">
        <v>5</v>
      </c>
      <c r="I1011" s="77">
        <v>1</v>
      </c>
    </row>
    <row r="1012" spans="1:9">
      <c r="A1012" s="77" t="s">
        <v>125</v>
      </c>
      <c r="B1012" s="77" t="s">
        <v>118</v>
      </c>
      <c r="C1012" s="98"/>
      <c r="D1012" s="77" t="s">
        <v>116</v>
      </c>
      <c r="E1012" s="77"/>
      <c r="F1012" s="44">
        <f>WORKDAY(G1009,-4)</f>
        <v>46503</v>
      </c>
      <c r="G1012" s="44">
        <f t="shared" si="130"/>
        <v>46507</v>
      </c>
      <c r="H1012" s="77">
        <v>5</v>
      </c>
      <c r="I1012" s="77">
        <v>0</v>
      </c>
    </row>
    <row r="1013" spans="1:9">
      <c r="A1013" s="5" t="s">
        <v>125</v>
      </c>
      <c r="B1013" s="99" t="s">
        <v>119</v>
      </c>
      <c r="C1013" s="100"/>
      <c r="D1013" s="6" t="s">
        <v>11</v>
      </c>
      <c r="E1013" s="6"/>
      <c r="F1013" s="8">
        <f>WORKDAY(G962,1)</f>
        <v>46349</v>
      </c>
      <c r="G1013" s="8">
        <f>WORKDAY(F1013,H1013-1,)</f>
        <v>46360</v>
      </c>
      <c r="H1013" s="6">
        <v>10</v>
      </c>
      <c r="I1013" s="6">
        <v>0</v>
      </c>
    </row>
    <row r="1014" spans="1:9">
      <c r="A1014" s="5" t="s">
        <v>125</v>
      </c>
      <c r="B1014" s="99" t="s">
        <v>119</v>
      </c>
      <c r="C1014" s="100"/>
      <c r="D1014" s="6" t="s">
        <v>13</v>
      </c>
      <c r="E1014" s="6"/>
      <c r="F1014" s="8">
        <f>WORKDAY(G962,1)</f>
        <v>46349</v>
      </c>
      <c r="G1014" s="8">
        <f t="shared" ref="G1014" si="132">WORKDAY(F1014,H1014-1,)</f>
        <v>46360</v>
      </c>
      <c r="H1014" s="6">
        <v>10</v>
      </c>
      <c r="I1014" s="6">
        <v>0</v>
      </c>
    </row>
    <row r="1015" spans="1:9">
      <c r="A1015" s="5" t="s">
        <v>125</v>
      </c>
      <c r="B1015" s="99" t="s">
        <v>119</v>
      </c>
      <c r="C1015" s="100"/>
      <c r="D1015" s="6" t="s">
        <v>15</v>
      </c>
      <c r="E1015" s="6"/>
      <c r="F1015" s="8">
        <f>WORKDAY(G961,1)</f>
        <v>46349</v>
      </c>
      <c r="G1015" s="8">
        <f>WORKDAY(F1015,H1015-1,)</f>
        <v>46360</v>
      </c>
      <c r="H1015" s="6">
        <v>10</v>
      </c>
      <c r="I1015" s="6">
        <v>0</v>
      </c>
    </row>
    <row r="1016" spans="1:9">
      <c r="A1016" s="5" t="s">
        <v>125</v>
      </c>
      <c r="B1016" s="99" t="s">
        <v>119</v>
      </c>
      <c r="C1016" s="100"/>
      <c r="D1016" s="6" t="s">
        <v>120</v>
      </c>
      <c r="E1016" s="6"/>
      <c r="F1016" s="8">
        <f>WORKDAY(G962,1)</f>
        <v>46349</v>
      </c>
      <c r="G1016" s="8">
        <f>WORKDAY(F1016,H1016-1,)</f>
        <v>46360</v>
      </c>
      <c r="H1016" s="6">
        <v>10</v>
      </c>
      <c r="I1016" s="6">
        <v>0</v>
      </c>
    </row>
    <row r="1017" spans="1:9">
      <c r="A1017" s="11" t="s">
        <v>125</v>
      </c>
      <c r="B1017" s="101" t="s">
        <v>119</v>
      </c>
      <c r="C1017" s="102"/>
      <c r="D1017" s="11" t="s">
        <v>16</v>
      </c>
      <c r="E1017" s="11"/>
      <c r="F1017" s="12">
        <f>WORKDAY(G1016,-4)</f>
        <v>46356</v>
      </c>
      <c r="G1017" s="12">
        <f t="shared" ref="G1017:G1024" si="133">WORKDAY(F1017,H1017-1,)</f>
        <v>46367</v>
      </c>
      <c r="H1017" s="11">
        <v>10</v>
      </c>
      <c r="I1017" s="11">
        <v>0</v>
      </c>
    </row>
    <row r="1018" spans="1:9">
      <c r="A1018" s="11" t="s">
        <v>125</v>
      </c>
      <c r="B1018" s="101" t="s">
        <v>119</v>
      </c>
      <c r="C1018" s="102"/>
      <c r="D1018" s="11" t="s">
        <v>18</v>
      </c>
      <c r="E1018" s="11"/>
      <c r="F1018" s="12">
        <f>WORKDAY(G1016,-4)</f>
        <v>46356</v>
      </c>
      <c r="G1018" s="12">
        <f t="shared" si="133"/>
        <v>46367</v>
      </c>
      <c r="H1018" s="11">
        <v>10</v>
      </c>
      <c r="I1018" s="13">
        <v>0</v>
      </c>
    </row>
    <row r="1019" spans="1:9">
      <c r="A1019" s="11" t="s">
        <v>125</v>
      </c>
      <c r="B1019" s="101" t="s">
        <v>119</v>
      </c>
      <c r="C1019" s="102"/>
      <c r="D1019" s="11" t="s">
        <v>21</v>
      </c>
      <c r="E1019" s="11"/>
      <c r="F1019" s="12">
        <f>WORKDAY(G1016,-4)</f>
        <v>46356</v>
      </c>
      <c r="G1019" s="12">
        <f t="shared" si="133"/>
        <v>46367</v>
      </c>
      <c r="H1019" s="11">
        <v>10</v>
      </c>
      <c r="I1019" s="11">
        <v>3</v>
      </c>
    </row>
    <row r="1020" spans="1:9">
      <c r="A1020" s="11" t="s">
        <v>125</v>
      </c>
      <c r="B1020" s="101" t="s">
        <v>119</v>
      </c>
      <c r="C1020" s="102"/>
      <c r="D1020" s="11" t="s">
        <v>24</v>
      </c>
      <c r="E1020" s="11"/>
      <c r="F1020" s="12">
        <f>WORKDAY(G1016,-4)</f>
        <v>46356</v>
      </c>
      <c r="G1020" s="12">
        <f t="shared" si="133"/>
        <v>46367</v>
      </c>
      <c r="H1020" s="11">
        <v>10</v>
      </c>
      <c r="I1020" s="11">
        <v>0</v>
      </c>
    </row>
    <row r="1021" spans="1:9">
      <c r="A1021" s="17" t="s">
        <v>125</v>
      </c>
      <c r="B1021" s="103" t="s">
        <v>119</v>
      </c>
      <c r="C1021" s="104"/>
      <c r="D1021" s="17" t="s">
        <v>26</v>
      </c>
      <c r="E1021" s="17"/>
      <c r="F1021" s="18">
        <f>WORKDAY(G1020,-4)</f>
        <v>46363</v>
      </c>
      <c r="G1021" s="18">
        <f t="shared" si="133"/>
        <v>46374</v>
      </c>
      <c r="H1021" s="17">
        <v>10</v>
      </c>
      <c r="I1021" s="17">
        <v>2</v>
      </c>
    </row>
    <row r="1022" spans="1:9">
      <c r="A1022" s="21" t="s">
        <v>125</v>
      </c>
      <c r="B1022" s="21" t="s">
        <v>119</v>
      </c>
      <c r="C1022" s="20"/>
      <c r="D1022" s="21" t="s">
        <v>29</v>
      </c>
      <c r="E1022" s="21"/>
      <c r="F1022" s="22">
        <f>WORKDAY(F1021,5)</f>
        <v>46370</v>
      </c>
      <c r="G1022" s="22">
        <f t="shared" si="133"/>
        <v>46374</v>
      </c>
      <c r="H1022" s="21">
        <v>5</v>
      </c>
      <c r="I1022" s="21">
        <v>4</v>
      </c>
    </row>
    <row r="1023" spans="1:9">
      <c r="A1023" s="21" t="s">
        <v>125</v>
      </c>
      <c r="B1023" s="21" t="s">
        <v>119</v>
      </c>
      <c r="C1023" s="20"/>
      <c r="D1023" s="21" t="s">
        <v>32</v>
      </c>
      <c r="E1023" s="21"/>
      <c r="F1023" s="22">
        <f>WORKDAY(G1021,1)</f>
        <v>46377</v>
      </c>
      <c r="G1023" s="22">
        <f t="shared" si="133"/>
        <v>46381</v>
      </c>
      <c r="H1023" s="21">
        <v>5</v>
      </c>
      <c r="I1023" s="21">
        <v>0</v>
      </c>
    </row>
    <row r="1024" spans="1:9">
      <c r="A1024" s="21" t="s">
        <v>125</v>
      </c>
      <c r="B1024" s="21" t="s">
        <v>119</v>
      </c>
      <c r="C1024" s="20"/>
      <c r="D1024" s="21" t="s">
        <v>34</v>
      </c>
      <c r="E1024" s="21"/>
      <c r="F1024" s="22">
        <f>WORKDAY(G1018,1)</f>
        <v>46370</v>
      </c>
      <c r="G1024" s="22">
        <f t="shared" si="133"/>
        <v>46381</v>
      </c>
      <c r="H1024" s="21">
        <v>10</v>
      </c>
      <c r="I1024" s="21">
        <v>1</v>
      </c>
    </row>
    <row r="1025" spans="1:9">
      <c r="A1025" s="31" t="s">
        <v>125</v>
      </c>
      <c r="B1025" s="31" t="s">
        <v>119</v>
      </c>
      <c r="C1025" s="30"/>
      <c r="D1025" s="31" t="s">
        <v>37</v>
      </c>
      <c r="E1025" s="31"/>
      <c r="F1025" s="32">
        <f>WORKDAY(G1024,1)</f>
        <v>46384</v>
      </c>
      <c r="G1025" s="32">
        <f>WORKDAY(F1025,H1025-1,)</f>
        <v>46395</v>
      </c>
      <c r="H1025" s="31">
        <v>10</v>
      </c>
      <c r="I1025" s="128">
        <v>2</v>
      </c>
    </row>
    <row r="1026" spans="1:9">
      <c r="A1026" s="31" t="s">
        <v>125</v>
      </c>
      <c r="B1026" s="31" t="s">
        <v>119</v>
      </c>
      <c r="C1026" s="30"/>
      <c r="D1026" s="31" t="s">
        <v>40</v>
      </c>
      <c r="E1026" s="31"/>
      <c r="F1026" s="32">
        <f>WORKDAY(G1024,1)</f>
        <v>46384</v>
      </c>
      <c r="G1026" s="32">
        <f t="shared" ref="G1026:G1038" si="134">WORKDAY(F1026,H1026-1,)</f>
        <v>46395</v>
      </c>
      <c r="H1026" s="31">
        <v>10</v>
      </c>
      <c r="I1026" s="128"/>
    </row>
    <row r="1027" spans="1:9">
      <c r="A1027" s="31" t="s">
        <v>125</v>
      </c>
      <c r="B1027" s="31" t="s">
        <v>119</v>
      </c>
      <c r="C1027" s="30"/>
      <c r="D1027" s="31" t="s">
        <v>42</v>
      </c>
      <c r="E1027" s="31"/>
      <c r="F1027" s="32">
        <f>WORKDAY(G1024,1)</f>
        <v>46384</v>
      </c>
      <c r="G1027" s="32">
        <f t="shared" si="134"/>
        <v>46395</v>
      </c>
      <c r="H1027" s="31">
        <v>10</v>
      </c>
      <c r="I1027" s="128"/>
    </row>
    <row r="1028" spans="1:9">
      <c r="A1028" s="31" t="s">
        <v>125</v>
      </c>
      <c r="B1028" s="31" t="s">
        <v>119</v>
      </c>
      <c r="C1028" s="30"/>
      <c r="D1028" s="31" t="s">
        <v>44</v>
      </c>
      <c r="E1028" s="31"/>
      <c r="F1028" s="32">
        <f>WORKDAY(G1024,1)</f>
        <v>46384</v>
      </c>
      <c r="G1028" s="32">
        <f t="shared" si="134"/>
        <v>46395</v>
      </c>
      <c r="H1028" s="31">
        <v>10</v>
      </c>
      <c r="I1028" s="128"/>
    </row>
    <row r="1029" spans="1:9">
      <c r="A1029" s="31" t="s">
        <v>125</v>
      </c>
      <c r="B1029" s="31" t="s">
        <v>119</v>
      </c>
      <c r="C1029" s="30"/>
      <c r="D1029" s="31" t="s">
        <v>45</v>
      </c>
      <c r="E1029" s="31"/>
      <c r="F1029" s="32">
        <f>WORKDAY(G1024,1)</f>
        <v>46384</v>
      </c>
      <c r="G1029" s="32">
        <f t="shared" si="134"/>
        <v>46395</v>
      </c>
      <c r="H1029" s="31">
        <v>10</v>
      </c>
      <c r="I1029" s="31">
        <v>5</v>
      </c>
    </row>
    <row r="1030" spans="1:9">
      <c r="A1030" s="25" t="s">
        <v>125</v>
      </c>
      <c r="B1030" s="25" t="s">
        <v>119</v>
      </c>
      <c r="C1030" s="105"/>
      <c r="D1030" s="26" t="s">
        <v>47</v>
      </c>
      <c r="E1030" s="26"/>
      <c r="F1030" s="27">
        <f>WORKDAY(G1029,-4)</f>
        <v>46391</v>
      </c>
      <c r="G1030" s="28">
        <f t="shared" si="134"/>
        <v>46402</v>
      </c>
      <c r="H1030" s="26">
        <v>10</v>
      </c>
      <c r="I1030" s="26">
        <v>8</v>
      </c>
    </row>
    <row r="1031" spans="1:9">
      <c r="A1031" s="77" t="s">
        <v>125</v>
      </c>
      <c r="B1031" s="77" t="s">
        <v>119</v>
      </c>
      <c r="C1031" s="98"/>
      <c r="D1031" s="42" t="s">
        <v>50</v>
      </c>
      <c r="E1031" s="42"/>
      <c r="F1031" s="43">
        <f>WORKDAY(G1029,1)</f>
        <v>46398</v>
      </c>
      <c r="G1031" s="44">
        <f t="shared" si="134"/>
        <v>46398</v>
      </c>
      <c r="H1031" s="42">
        <v>1</v>
      </c>
      <c r="I1031" s="42">
        <v>0</v>
      </c>
    </row>
    <row r="1032" spans="1:9">
      <c r="A1032" s="21" t="s">
        <v>125</v>
      </c>
      <c r="B1032" s="21" t="s">
        <v>119</v>
      </c>
      <c r="C1032" s="20"/>
      <c r="D1032" s="47" t="s">
        <v>52</v>
      </c>
      <c r="E1032" s="47"/>
      <c r="F1032" s="48">
        <f>WORKDAY(G1030,1)</f>
        <v>46405</v>
      </c>
      <c r="G1032" s="22">
        <f t="shared" si="134"/>
        <v>46416</v>
      </c>
      <c r="H1032" s="47">
        <v>10</v>
      </c>
      <c r="I1032" s="47">
        <v>5</v>
      </c>
    </row>
    <row r="1033" spans="1:9">
      <c r="A1033" s="21" t="s">
        <v>125</v>
      </c>
      <c r="B1033" s="21" t="s">
        <v>119</v>
      </c>
      <c r="C1033" s="20"/>
      <c r="D1033" s="49" t="s">
        <v>55</v>
      </c>
      <c r="E1033" s="49"/>
      <c r="F1033" s="48">
        <f>WORKDAY(G1030,1)</f>
        <v>46405</v>
      </c>
      <c r="G1033" s="22">
        <f t="shared" si="134"/>
        <v>46416</v>
      </c>
      <c r="H1033" s="47">
        <v>10</v>
      </c>
      <c r="I1033" s="47">
        <v>0</v>
      </c>
    </row>
    <row r="1034" spans="1:9">
      <c r="A1034" s="52" t="s">
        <v>125</v>
      </c>
      <c r="B1034" s="110" t="s">
        <v>119</v>
      </c>
      <c r="C1034" s="111"/>
      <c r="D1034" s="52" t="s">
        <v>56</v>
      </c>
      <c r="E1034" s="52"/>
      <c r="F1034" s="53">
        <f t="shared" ref="F1034" si="135">WORKDAY(G1033,1)</f>
        <v>46419</v>
      </c>
      <c r="G1034" s="53">
        <f t="shared" si="134"/>
        <v>46430</v>
      </c>
      <c r="H1034" s="52">
        <v>10</v>
      </c>
      <c r="I1034" s="52">
        <v>4</v>
      </c>
    </row>
    <row r="1035" spans="1:9">
      <c r="A1035" s="52" t="s">
        <v>125</v>
      </c>
      <c r="B1035" s="110" t="s">
        <v>119</v>
      </c>
      <c r="C1035" s="111"/>
      <c r="D1035" s="52" t="s">
        <v>59</v>
      </c>
      <c r="E1035" s="52"/>
      <c r="F1035" s="53">
        <f>WORKDAY(G1033,1)</f>
        <v>46419</v>
      </c>
      <c r="G1035" s="53">
        <f t="shared" si="134"/>
        <v>46419</v>
      </c>
      <c r="H1035" s="52">
        <v>1</v>
      </c>
      <c r="I1035" s="52">
        <v>0</v>
      </c>
    </row>
    <row r="1036" spans="1:9">
      <c r="A1036" s="56" t="s">
        <v>125</v>
      </c>
      <c r="B1036" s="112" t="s">
        <v>119</v>
      </c>
      <c r="C1036" s="113"/>
      <c r="D1036" s="56" t="s">
        <v>62</v>
      </c>
      <c r="E1036" s="56"/>
      <c r="F1036" s="57">
        <f>WORKDAY(G1034,-4)</f>
        <v>46426</v>
      </c>
      <c r="G1036" s="57">
        <f t="shared" si="134"/>
        <v>46437</v>
      </c>
      <c r="H1036" s="56">
        <v>10</v>
      </c>
      <c r="I1036" s="56">
        <v>0</v>
      </c>
    </row>
    <row r="1037" spans="1:9">
      <c r="A1037" s="56" t="s">
        <v>125</v>
      </c>
      <c r="B1037" s="112" t="s">
        <v>119</v>
      </c>
      <c r="C1037" s="113"/>
      <c r="D1037" s="56" t="s">
        <v>64</v>
      </c>
      <c r="E1037" s="56"/>
      <c r="F1037" s="57">
        <f>WORKDAY(F1036,1)</f>
        <v>46427</v>
      </c>
      <c r="G1037" s="57">
        <f t="shared" si="134"/>
        <v>46437</v>
      </c>
      <c r="H1037" s="56">
        <v>9</v>
      </c>
      <c r="I1037" s="56">
        <v>0</v>
      </c>
    </row>
    <row r="1038" spans="1:9">
      <c r="A1038" s="31" t="s">
        <v>125</v>
      </c>
      <c r="B1038" s="31" t="s">
        <v>119</v>
      </c>
      <c r="C1038" s="30"/>
      <c r="D1038" s="58" t="s">
        <v>65</v>
      </c>
      <c r="E1038" s="58"/>
      <c r="F1038" s="59">
        <f>WORKDAY(G1036,1)</f>
        <v>46440</v>
      </c>
      <c r="G1038" s="32">
        <f t="shared" si="134"/>
        <v>46451</v>
      </c>
      <c r="H1038" s="58">
        <v>10</v>
      </c>
      <c r="I1038" s="58">
        <v>2</v>
      </c>
    </row>
    <row r="1039" spans="1:9">
      <c r="A1039" s="106" t="s">
        <v>125</v>
      </c>
      <c r="B1039" s="107" t="s">
        <v>119</v>
      </c>
      <c r="C1039" s="108"/>
      <c r="D1039" s="64" t="s">
        <v>68</v>
      </c>
      <c r="E1039" s="64"/>
      <c r="F1039" s="65">
        <f>WORKDAY(G1038,1)</f>
        <v>46454</v>
      </c>
      <c r="G1039" s="65">
        <f>WORKDAY(F1039,H1039-1,)</f>
        <v>46465</v>
      </c>
      <c r="H1039" s="64">
        <v>10</v>
      </c>
      <c r="I1039" s="129">
        <v>2</v>
      </c>
    </row>
    <row r="1040" spans="1:9">
      <c r="A1040" s="106" t="s">
        <v>125</v>
      </c>
      <c r="B1040" s="107" t="s">
        <v>119</v>
      </c>
      <c r="C1040" s="108"/>
      <c r="D1040" s="64" t="s">
        <v>71</v>
      </c>
      <c r="E1040" s="64"/>
      <c r="F1040" s="65">
        <f>WORKDAY(G1038,1)</f>
        <v>46454</v>
      </c>
      <c r="G1040" s="65">
        <f t="shared" ref="G1040:G1042" si="136">WORKDAY(F1039,H1039-1,)</f>
        <v>46465</v>
      </c>
      <c r="H1040" s="64">
        <v>10</v>
      </c>
      <c r="I1040" s="129"/>
    </row>
    <row r="1041" spans="1:9">
      <c r="A1041" s="106" t="s">
        <v>125</v>
      </c>
      <c r="B1041" s="107" t="s">
        <v>119</v>
      </c>
      <c r="C1041" s="108"/>
      <c r="D1041" s="64" t="s">
        <v>72</v>
      </c>
      <c r="E1041" s="64"/>
      <c r="F1041" s="65">
        <f>WORKDAY(G1038,1)</f>
        <v>46454</v>
      </c>
      <c r="G1041" s="65">
        <f t="shared" si="136"/>
        <v>46465</v>
      </c>
      <c r="H1041" s="64">
        <v>10</v>
      </c>
      <c r="I1041" s="129"/>
    </row>
    <row r="1042" spans="1:9">
      <c r="A1042" s="106" t="s">
        <v>125</v>
      </c>
      <c r="B1042" s="107" t="s">
        <v>119</v>
      </c>
      <c r="C1042" s="108"/>
      <c r="D1042" s="64" t="s">
        <v>73</v>
      </c>
      <c r="E1042" s="64"/>
      <c r="F1042" s="65">
        <f>WORKDAY(G1038,1)</f>
        <v>46454</v>
      </c>
      <c r="G1042" s="65">
        <f t="shared" si="136"/>
        <v>46465</v>
      </c>
      <c r="H1042" s="64">
        <v>10</v>
      </c>
      <c r="I1042" s="129"/>
    </row>
    <row r="1043" spans="1:9">
      <c r="A1043" s="107" t="s">
        <v>125</v>
      </c>
      <c r="B1043" s="107" t="s">
        <v>119</v>
      </c>
      <c r="C1043" s="108"/>
      <c r="D1043" s="64" t="s">
        <v>74</v>
      </c>
      <c r="E1043" s="64"/>
      <c r="F1043" s="65">
        <f>WORKDAY(G1038,1)</f>
        <v>46454</v>
      </c>
      <c r="G1043" s="66">
        <f>WORKDAY(F1043,H1043-1,)</f>
        <v>46465</v>
      </c>
      <c r="H1043" s="64">
        <v>10</v>
      </c>
      <c r="I1043" s="64">
        <v>3</v>
      </c>
    </row>
    <row r="1044" spans="1:9">
      <c r="A1044" s="107" t="s">
        <v>125</v>
      </c>
      <c r="B1044" s="107" t="s">
        <v>119</v>
      </c>
      <c r="C1044" s="108"/>
      <c r="D1044" s="64" t="s">
        <v>77</v>
      </c>
      <c r="E1044" s="64"/>
      <c r="F1044" s="65">
        <f>WORKDAY(G1038,1)</f>
        <v>46454</v>
      </c>
      <c r="G1044" s="66">
        <f t="shared" ref="G1044:G1066" si="137">WORKDAY(F1044,H1044-1,)</f>
        <v>46465</v>
      </c>
      <c r="H1044" s="64">
        <v>10</v>
      </c>
      <c r="I1044" s="64">
        <v>0</v>
      </c>
    </row>
    <row r="1045" spans="1:9">
      <c r="A1045" s="107" t="s">
        <v>125</v>
      </c>
      <c r="B1045" s="107" t="s">
        <v>119</v>
      </c>
      <c r="C1045" s="108"/>
      <c r="D1045" s="64" t="s">
        <v>80</v>
      </c>
      <c r="E1045" s="64"/>
      <c r="F1045" s="65">
        <f>WORKDAY(G1038,1)</f>
        <v>46454</v>
      </c>
      <c r="G1045" s="66">
        <f t="shared" si="137"/>
        <v>46465</v>
      </c>
      <c r="H1045" s="64">
        <v>10</v>
      </c>
      <c r="I1045" s="64">
        <v>0</v>
      </c>
    </row>
    <row r="1046" spans="1:9">
      <c r="A1046" s="107" t="s">
        <v>125</v>
      </c>
      <c r="B1046" s="107" t="s">
        <v>119</v>
      </c>
      <c r="C1046" s="108"/>
      <c r="D1046" s="64" t="s">
        <v>81</v>
      </c>
      <c r="E1046" s="64"/>
      <c r="F1046" s="65">
        <f>WORKDAY(G1038,1)</f>
        <v>46454</v>
      </c>
      <c r="G1046" s="66">
        <f t="shared" si="137"/>
        <v>46465</v>
      </c>
      <c r="H1046" s="64">
        <v>10</v>
      </c>
      <c r="I1046" s="64">
        <v>6</v>
      </c>
    </row>
    <row r="1047" spans="1:9">
      <c r="A1047" s="70" t="s">
        <v>125</v>
      </c>
      <c r="B1047" s="119" t="s">
        <v>119</v>
      </c>
      <c r="C1047" s="120"/>
      <c r="D1047" s="70" t="s">
        <v>82</v>
      </c>
      <c r="E1047" s="70"/>
      <c r="F1047" s="71">
        <f t="shared" ref="F1047" si="138">WORKDAY(G1046,1)</f>
        <v>46468</v>
      </c>
      <c r="G1047" s="71">
        <f t="shared" si="137"/>
        <v>46479</v>
      </c>
      <c r="H1047" s="70">
        <v>10</v>
      </c>
      <c r="I1047" s="70">
        <v>4</v>
      </c>
    </row>
    <row r="1048" spans="1:9">
      <c r="A1048" s="77" t="s">
        <v>125</v>
      </c>
      <c r="B1048" s="77" t="s">
        <v>119</v>
      </c>
      <c r="C1048" s="98"/>
      <c r="D1048" s="75" t="s">
        <v>85</v>
      </c>
      <c r="E1048" s="75"/>
      <c r="F1048" s="76">
        <f>WORKDAY(G1047,-1)</f>
        <v>46478</v>
      </c>
      <c r="G1048" s="44">
        <f t="shared" si="137"/>
        <v>46482</v>
      </c>
      <c r="H1048" s="75">
        <v>3</v>
      </c>
      <c r="I1048" s="75">
        <v>6</v>
      </c>
    </row>
    <row r="1049" spans="1:9">
      <c r="A1049" s="77" t="s">
        <v>125</v>
      </c>
      <c r="B1049" s="77" t="s">
        <v>119</v>
      </c>
      <c r="C1049" s="98"/>
      <c r="D1049" s="75" t="s">
        <v>86</v>
      </c>
      <c r="E1049" s="75"/>
      <c r="F1049" s="76">
        <f>WORKDAY(G1047,1)</f>
        <v>46482</v>
      </c>
      <c r="G1049" s="44">
        <f t="shared" si="137"/>
        <v>46493</v>
      </c>
      <c r="H1049" s="75">
        <v>10</v>
      </c>
      <c r="I1049" s="75">
        <v>0</v>
      </c>
    </row>
    <row r="1050" spans="1:9">
      <c r="A1050" s="122" t="s">
        <v>125</v>
      </c>
      <c r="B1050" s="78" t="s">
        <v>119</v>
      </c>
      <c r="C1050" s="109"/>
      <c r="D1050" s="79" t="s">
        <v>87</v>
      </c>
      <c r="E1050" s="79"/>
      <c r="F1050" s="81">
        <f>WORKDAY(F1048,4)</f>
        <v>46484</v>
      </c>
      <c r="G1050" s="82">
        <f t="shared" si="137"/>
        <v>46497</v>
      </c>
      <c r="H1050" s="79">
        <v>10</v>
      </c>
      <c r="I1050" s="79">
        <v>4</v>
      </c>
    </row>
    <row r="1051" spans="1:9">
      <c r="A1051" s="83" t="s">
        <v>125</v>
      </c>
      <c r="B1051" s="114" t="s">
        <v>119</v>
      </c>
      <c r="C1051" s="115"/>
      <c r="D1051" s="83" t="s">
        <v>89</v>
      </c>
      <c r="E1051" s="83"/>
      <c r="F1051" s="85">
        <f>WORKDAY(F1050,3)</f>
        <v>46489</v>
      </c>
      <c r="G1051" s="85">
        <f t="shared" si="137"/>
        <v>46500</v>
      </c>
      <c r="H1051" s="83">
        <v>10</v>
      </c>
      <c r="I1051" s="127">
        <v>0</v>
      </c>
    </row>
    <row r="1052" spans="1:9">
      <c r="A1052" s="83" t="s">
        <v>125</v>
      </c>
      <c r="B1052" s="114" t="s">
        <v>119</v>
      </c>
      <c r="C1052" s="115"/>
      <c r="D1052" s="83" t="s">
        <v>91</v>
      </c>
      <c r="E1052" s="83"/>
      <c r="F1052" s="85">
        <f>WORKDAY(F1050,3)</f>
        <v>46489</v>
      </c>
      <c r="G1052" s="85">
        <f t="shared" si="137"/>
        <v>46500</v>
      </c>
      <c r="H1052" s="83">
        <v>10</v>
      </c>
      <c r="I1052" s="127"/>
    </row>
    <row r="1053" spans="1:9">
      <c r="A1053" s="83" t="s">
        <v>125</v>
      </c>
      <c r="B1053" s="114" t="s">
        <v>119</v>
      </c>
      <c r="C1053" s="115"/>
      <c r="D1053" s="83" t="s">
        <v>92</v>
      </c>
      <c r="E1053" s="83"/>
      <c r="F1053" s="85">
        <f>WORKDAY(F1050,3)</f>
        <v>46489</v>
      </c>
      <c r="G1053" s="85">
        <f t="shared" si="137"/>
        <v>46500</v>
      </c>
      <c r="H1053" s="83">
        <v>10</v>
      </c>
      <c r="I1053" s="127"/>
    </row>
    <row r="1054" spans="1:9">
      <c r="A1054" s="83" t="s">
        <v>125</v>
      </c>
      <c r="B1054" s="114" t="s">
        <v>119</v>
      </c>
      <c r="C1054" s="115"/>
      <c r="D1054" s="83" t="s">
        <v>93</v>
      </c>
      <c r="E1054" s="83"/>
      <c r="F1054" s="85">
        <f>WORKDAY(F1050,3)</f>
        <v>46489</v>
      </c>
      <c r="G1054" s="85">
        <f t="shared" si="137"/>
        <v>46500</v>
      </c>
      <c r="H1054" s="83">
        <v>10</v>
      </c>
      <c r="I1054" s="127"/>
    </row>
    <row r="1055" spans="1:9">
      <c r="A1055" s="83" t="s">
        <v>125</v>
      </c>
      <c r="B1055" s="114" t="s">
        <v>119</v>
      </c>
      <c r="C1055" s="115"/>
      <c r="D1055" s="83" t="s">
        <v>94</v>
      </c>
      <c r="E1055" s="83"/>
      <c r="F1055" s="85">
        <f>WORKDAY(F1050,3)</f>
        <v>46489</v>
      </c>
      <c r="G1055" s="85">
        <f t="shared" si="137"/>
        <v>46500</v>
      </c>
      <c r="H1055" s="83">
        <v>10</v>
      </c>
      <c r="I1055" s="83">
        <v>0</v>
      </c>
    </row>
    <row r="1056" spans="1:9">
      <c r="A1056" s="86" t="s">
        <v>125</v>
      </c>
      <c r="B1056" s="116" t="s">
        <v>119</v>
      </c>
      <c r="C1056" s="117"/>
      <c r="D1056" s="86" t="s">
        <v>95</v>
      </c>
      <c r="E1056" s="86"/>
      <c r="F1056" s="88">
        <f>WORKDAY(F1055,3)</f>
        <v>46492</v>
      </c>
      <c r="G1056" s="88">
        <f t="shared" si="137"/>
        <v>46500</v>
      </c>
      <c r="H1056" s="86">
        <v>7</v>
      </c>
      <c r="I1056" s="86">
        <v>0</v>
      </c>
    </row>
    <row r="1057" spans="1:9">
      <c r="A1057" s="89" t="s">
        <v>125</v>
      </c>
      <c r="B1057" s="89" t="s">
        <v>119</v>
      </c>
      <c r="C1057" s="90"/>
      <c r="D1057" s="89" t="s">
        <v>96</v>
      </c>
      <c r="E1057" s="89"/>
      <c r="F1057" s="91">
        <f>WORKDAY(F1056,2)</f>
        <v>46496</v>
      </c>
      <c r="G1057" s="91">
        <f t="shared" si="137"/>
        <v>46507</v>
      </c>
      <c r="H1057" s="89">
        <v>10</v>
      </c>
      <c r="I1057" s="89">
        <v>0</v>
      </c>
    </row>
    <row r="1058" spans="1:9">
      <c r="A1058" s="89" t="s">
        <v>125</v>
      </c>
      <c r="B1058" s="89" t="s">
        <v>119</v>
      </c>
      <c r="C1058" s="90"/>
      <c r="D1058" s="89" t="s">
        <v>98</v>
      </c>
      <c r="E1058" s="89"/>
      <c r="F1058" s="91">
        <f>WORKDAY(F1056,2)</f>
        <v>46496</v>
      </c>
      <c r="G1058" s="91">
        <f t="shared" si="137"/>
        <v>46507</v>
      </c>
      <c r="H1058" s="89">
        <v>10</v>
      </c>
      <c r="I1058" s="89">
        <v>4</v>
      </c>
    </row>
    <row r="1059" spans="1:9">
      <c r="A1059" s="89" t="s">
        <v>125</v>
      </c>
      <c r="B1059" s="89" t="s">
        <v>119</v>
      </c>
      <c r="C1059" s="90"/>
      <c r="D1059" s="89" t="s">
        <v>101</v>
      </c>
      <c r="E1059" s="89"/>
      <c r="F1059" s="91">
        <f>WORKDAY(F1056,2)</f>
        <v>46496</v>
      </c>
      <c r="G1059" s="91">
        <f t="shared" si="137"/>
        <v>46507</v>
      </c>
      <c r="H1059" s="89">
        <v>10</v>
      </c>
      <c r="I1059" s="89">
        <v>0</v>
      </c>
    </row>
    <row r="1060" spans="1:9">
      <c r="A1060" s="38" t="s">
        <v>125</v>
      </c>
      <c r="B1060" s="38" t="s">
        <v>119</v>
      </c>
      <c r="C1060" s="92"/>
      <c r="D1060" s="38" t="s">
        <v>103</v>
      </c>
      <c r="E1060" s="38"/>
      <c r="F1060" s="93">
        <f>WORKDAY(G1058,-4)</f>
        <v>46503</v>
      </c>
      <c r="G1060" s="93">
        <f t="shared" si="137"/>
        <v>46505</v>
      </c>
      <c r="H1060" s="38">
        <v>3</v>
      </c>
      <c r="I1060" s="38">
        <v>0</v>
      </c>
    </row>
    <row r="1061" spans="1:9">
      <c r="A1061" s="38" t="s">
        <v>125</v>
      </c>
      <c r="B1061" s="38" t="s">
        <v>119</v>
      </c>
      <c r="C1061" s="92"/>
      <c r="D1061" s="38" t="s">
        <v>106</v>
      </c>
      <c r="E1061" s="38"/>
      <c r="F1061" s="93">
        <f>WORKDAY(G1058,-4)</f>
        <v>46503</v>
      </c>
      <c r="G1061" s="93">
        <f t="shared" si="137"/>
        <v>46514</v>
      </c>
      <c r="H1061" s="38">
        <v>10</v>
      </c>
      <c r="I1061" s="38">
        <v>5</v>
      </c>
    </row>
    <row r="1062" spans="1:9">
      <c r="A1062" s="38" t="s">
        <v>125</v>
      </c>
      <c r="B1062" s="38" t="s">
        <v>119</v>
      </c>
      <c r="C1062" s="92"/>
      <c r="D1062" s="38" t="s">
        <v>108</v>
      </c>
      <c r="E1062" s="38"/>
      <c r="F1062" s="93">
        <f>WORKDAY(G1058,-4)</f>
        <v>46503</v>
      </c>
      <c r="G1062" s="93">
        <f t="shared" si="137"/>
        <v>46514</v>
      </c>
      <c r="H1062" s="38">
        <v>10</v>
      </c>
      <c r="I1062" s="38">
        <v>3</v>
      </c>
    </row>
    <row r="1063" spans="1:9">
      <c r="A1063" s="94" t="s">
        <v>125</v>
      </c>
      <c r="B1063" s="94" t="s">
        <v>119</v>
      </c>
      <c r="C1063" s="95"/>
      <c r="D1063" s="96" t="s">
        <v>109</v>
      </c>
      <c r="E1063" s="96"/>
      <c r="F1063" s="97">
        <f>WORKDAY(G1058,1)</f>
        <v>46510</v>
      </c>
      <c r="G1063" s="97">
        <f t="shared" si="137"/>
        <v>46521</v>
      </c>
      <c r="H1063" s="94">
        <v>10</v>
      </c>
      <c r="I1063" s="94">
        <v>0</v>
      </c>
    </row>
    <row r="1064" spans="1:9">
      <c r="A1064" s="94" t="s">
        <v>125</v>
      </c>
      <c r="B1064" s="94" t="s">
        <v>119</v>
      </c>
      <c r="C1064" s="95"/>
      <c r="D1064" s="96" t="s">
        <v>112</v>
      </c>
      <c r="E1064" s="96"/>
      <c r="F1064" s="97">
        <f>WORKDAY(G1058,1)</f>
        <v>46510</v>
      </c>
      <c r="G1064" s="97">
        <f t="shared" si="137"/>
        <v>46521</v>
      </c>
      <c r="H1064" s="94">
        <v>10</v>
      </c>
      <c r="I1064" s="94">
        <v>0</v>
      </c>
    </row>
    <row r="1065" spans="1:9">
      <c r="A1065" s="77" t="s">
        <v>125</v>
      </c>
      <c r="B1065" s="77" t="s">
        <v>119</v>
      </c>
      <c r="C1065" s="98"/>
      <c r="D1065" s="77" t="s">
        <v>113</v>
      </c>
      <c r="E1065" s="77"/>
      <c r="F1065" s="44">
        <f>WORKDAY(G1063,-4)</f>
        <v>46517</v>
      </c>
      <c r="G1065" s="44">
        <f t="shared" si="137"/>
        <v>46521</v>
      </c>
      <c r="H1065" s="77">
        <v>5</v>
      </c>
      <c r="I1065" s="77">
        <v>0</v>
      </c>
    </row>
    <row r="1066" spans="1:9">
      <c r="A1066" s="77" t="s">
        <v>125</v>
      </c>
      <c r="B1066" s="77" t="s">
        <v>119</v>
      </c>
      <c r="C1066" s="98"/>
      <c r="D1066" s="77" t="s">
        <v>116</v>
      </c>
      <c r="E1066" s="77"/>
      <c r="F1066" s="44">
        <f>WORKDAY(G1063,-4)</f>
        <v>46517</v>
      </c>
      <c r="G1066" s="44">
        <f t="shared" si="137"/>
        <v>46521</v>
      </c>
      <c r="H1066" s="77">
        <v>5</v>
      </c>
      <c r="I1066" s="77">
        <v>0</v>
      </c>
    </row>
    <row r="1067" spans="1:9">
      <c r="A1067" s="5" t="s">
        <v>126</v>
      </c>
      <c r="B1067" s="6" t="s">
        <v>10</v>
      </c>
      <c r="C1067" s="7"/>
      <c r="D1067" s="6" t="s">
        <v>11</v>
      </c>
      <c r="E1067" s="6"/>
      <c r="F1067" s="8">
        <f>WORKDAY(G1016,46)</f>
        <v>46426</v>
      </c>
      <c r="G1067" s="8">
        <f>WORKDAY(F1067,H1067-1,)</f>
        <v>46437</v>
      </c>
      <c r="H1067" s="6">
        <v>10</v>
      </c>
      <c r="I1067" s="6">
        <v>36</v>
      </c>
    </row>
    <row r="1068" spans="1:9">
      <c r="A1068" s="5" t="s">
        <v>126</v>
      </c>
      <c r="B1068" s="6" t="s">
        <v>10</v>
      </c>
      <c r="C1068" s="7"/>
      <c r="D1068" s="6" t="s">
        <v>13</v>
      </c>
      <c r="E1068" s="6"/>
      <c r="F1068" s="8">
        <f>WORKDAY(G1016,46)</f>
        <v>46426</v>
      </c>
      <c r="G1068" s="8">
        <f t="shared" ref="G1068" si="139">WORKDAY(F1068,H1068-1,)</f>
        <v>46437</v>
      </c>
      <c r="H1068" s="6">
        <v>10</v>
      </c>
      <c r="I1068" s="6">
        <v>1</v>
      </c>
    </row>
    <row r="1069" spans="1:9">
      <c r="A1069" s="5" t="s">
        <v>126</v>
      </c>
      <c r="B1069" s="6" t="s">
        <v>10</v>
      </c>
      <c r="C1069" s="7"/>
      <c r="D1069" s="6" t="s">
        <v>15</v>
      </c>
      <c r="E1069" s="6"/>
      <c r="F1069" s="8">
        <f>WORKDAY(G1016,46)</f>
        <v>46426</v>
      </c>
      <c r="G1069" s="8">
        <f>WORKDAY(F1069,H1069-1,)</f>
        <v>46437</v>
      </c>
      <c r="H1069" s="6">
        <v>10</v>
      </c>
      <c r="I1069" s="6">
        <v>1</v>
      </c>
    </row>
    <row r="1070" spans="1:9">
      <c r="A1070" s="11" t="s">
        <v>126</v>
      </c>
      <c r="B1070" s="11" t="s">
        <v>10</v>
      </c>
      <c r="C1070" s="10"/>
      <c r="D1070" s="11" t="s">
        <v>16</v>
      </c>
      <c r="E1070" s="11"/>
      <c r="F1070" s="12">
        <f>WORKDAY(G1069,-4)</f>
        <v>46433</v>
      </c>
      <c r="G1070" s="12">
        <f t="shared" ref="G1070:G1077" si="140">WORKDAY(F1070,H1070-1,)</f>
        <v>46444</v>
      </c>
      <c r="H1070" s="11">
        <v>10</v>
      </c>
      <c r="I1070" s="11">
        <v>5</v>
      </c>
    </row>
    <row r="1071" spans="1:9">
      <c r="A1071" s="11" t="s">
        <v>126</v>
      </c>
      <c r="B1071" s="11" t="s">
        <v>10</v>
      </c>
      <c r="C1071" s="10"/>
      <c r="D1071" s="11" t="s">
        <v>18</v>
      </c>
      <c r="E1071" s="11"/>
      <c r="F1071" s="12">
        <f>WORKDAY(G1069,-4)</f>
        <v>46433</v>
      </c>
      <c r="G1071" s="12">
        <f t="shared" si="140"/>
        <v>46444</v>
      </c>
      <c r="H1071" s="11">
        <v>10</v>
      </c>
      <c r="I1071" s="13">
        <v>4</v>
      </c>
    </row>
    <row r="1072" spans="1:9">
      <c r="A1072" s="11" t="s">
        <v>126</v>
      </c>
      <c r="B1072" s="11" t="s">
        <v>10</v>
      </c>
      <c r="C1072" s="10"/>
      <c r="D1072" s="11" t="s">
        <v>21</v>
      </c>
      <c r="E1072" s="11"/>
      <c r="F1072" s="12">
        <f>WORKDAY(G1069,-4)</f>
        <v>46433</v>
      </c>
      <c r="G1072" s="12">
        <f t="shared" si="140"/>
        <v>46444</v>
      </c>
      <c r="H1072" s="11">
        <v>10</v>
      </c>
      <c r="I1072" s="11">
        <v>3</v>
      </c>
    </row>
    <row r="1073" spans="1:9">
      <c r="A1073" s="11" t="s">
        <v>126</v>
      </c>
      <c r="B1073" s="11" t="s">
        <v>10</v>
      </c>
      <c r="C1073" s="10"/>
      <c r="D1073" s="11" t="s">
        <v>24</v>
      </c>
      <c r="E1073" s="11"/>
      <c r="F1073" s="12">
        <f>WORKDAY(G1069,-4)</f>
        <v>46433</v>
      </c>
      <c r="G1073" s="12">
        <f t="shared" si="140"/>
        <v>46444</v>
      </c>
      <c r="H1073" s="11">
        <v>10</v>
      </c>
      <c r="I1073" s="11">
        <v>0</v>
      </c>
    </row>
    <row r="1074" spans="1:9">
      <c r="A1074" s="17" t="s">
        <v>126</v>
      </c>
      <c r="B1074" s="17" t="s">
        <v>10</v>
      </c>
      <c r="C1074" s="16"/>
      <c r="D1074" s="17" t="s">
        <v>26</v>
      </c>
      <c r="E1074" s="17"/>
      <c r="F1074" s="18">
        <f>WORKDAY(G1073,-4)</f>
        <v>46440</v>
      </c>
      <c r="G1074" s="18">
        <f t="shared" si="140"/>
        <v>46451</v>
      </c>
      <c r="H1074" s="17">
        <v>10</v>
      </c>
      <c r="I1074" s="17">
        <v>2</v>
      </c>
    </row>
    <row r="1075" spans="1:9">
      <c r="A1075" s="21" t="s">
        <v>126</v>
      </c>
      <c r="B1075" s="21" t="s">
        <v>10</v>
      </c>
      <c r="C1075" s="20"/>
      <c r="D1075" s="21" t="s">
        <v>29</v>
      </c>
      <c r="E1075" s="21"/>
      <c r="F1075" s="22">
        <f>WORKDAY(F1074,5)</f>
        <v>46447</v>
      </c>
      <c r="G1075" s="22">
        <f t="shared" si="140"/>
        <v>46451</v>
      </c>
      <c r="H1075" s="21">
        <v>5</v>
      </c>
      <c r="I1075" s="21">
        <v>4</v>
      </c>
    </row>
    <row r="1076" spans="1:9">
      <c r="A1076" s="21" t="s">
        <v>126</v>
      </c>
      <c r="B1076" s="21" t="s">
        <v>10</v>
      </c>
      <c r="C1076" s="20"/>
      <c r="D1076" s="21" t="s">
        <v>32</v>
      </c>
      <c r="E1076" s="21"/>
      <c r="F1076" s="22">
        <f>WORKDAY(G1074,1)</f>
        <v>46454</v>
      </c>
      <c r="G1076" s="22">
        <f t="shared" si="140"/>
        <v>46458</v>
      </c>
      <c r="H1076" s="21">
        <v>5</v>
      </c>
      <c r="I1076" s="21">
        <v>1</v>
      </c>
    </row>
    <row r="1077" spans="1:9">
      <c r="A1077" s="21" t="s">
        <v>126</v>
      </c>
      <c r="B1077" s="21" t="s">
        <v>10</v>
      </c>
      <c r="C1077" s="20"/>
      <c r="D1077" s="21" t="s">
        <v>34</v>
      </c>
      <c r="E1077" s="21"/>
      <c r="F1077" s="22">
        <f>WORKDAY(G1071,1)</f>
        <v>46447</v>
      </c>
      <c r="G1077" s="22">
        <f t="shared" si="140"/>
        <v>46458</v>
      </c>
      <c r="H1077" s="21">
        <v>10</v>
      </c>
      <c r="I1077" s="21">
        <v>3</v>
      </c>
    </row>
    <row r="1078" spans="1:9">
      <c r="A1078" s="31" t="s">
        <v>126</v>
      </c>
      <c r="B1078" s="31" t="s">
        <v>10</v>
      </c>
      <c r="C1078" s="30"/>
      <c r="D1078" s="31" t="s">
        <v>37</v>
      </c>
      <c r="E1078" s="31"/>
      <c r="F1078" s="32">
        <f>WORKDAY(G1077,1)</f>
        <v>46461</v>
      </c>
      <c r="G1078" s="32">
        <f>WORKDAY(F1078,H1078-1,)</f>
        <v>46472</v>
      </c>
      <c r="H1078" s="31">
        <v>10</v>
      </c>
      <c r="I1078" s="128">
        <v>5</v>
      </c>
    </row>
    <row r="1079" spans="1:9">
      <c r="A1079" s="31" t="s">
        <v>126</v>
      </c>
      <c r="B1079" s="31" t="s">
        <v>10</v>
      </c>
      <c r="C1079" s="30"/>
      <c r="D1079" s="31" t="s">
        <v>40</v>
      </c>
      <c r="E1079" s="31"/>
      <c r="F1079" s="32">
        <f>WORKDAY(G1077,1)</f>
        <v>46461</v>
      </c>
      <c r="G1079" s="32">
        <f t="shared" ref="G1079:G1091" si="141">WORKDAY(F1079,H1079-1,)</f>
        <v>46472</v>
      </c>
      <c r="H1079" s="31">
        <v>10</v>
      </c>
      <c r="I1079" s="128"/>
    </row>
    <row r="1080" spans="1:9">
      <c r="A1080" s="31" t="s">
        <v>126</v>
      </c>
      <c r="B1080" s="31" t="s">
        <v>10</v>
      </c>
      <c r="C1080" s="30"/>
      <c r="D1080" s="31" t="s">
        <v>42</v>
      </c>
      <c r="E1080" s="31"/>
      <c r="F1080" s="32">
        <f>WORKDAY(G1077,1)</f>
        <v>46461</v>
      </c>
      <c r="G1080" s="32">
        <f t="shared" si="141"/>
        <v>46472</v>
      </c>
      <c r="H1080" s="31">
        <v>10</v>
      </c>
      <c r="I1080" s="128"/>
    </row>
    <row r="1081" spans="1:9">
      <c r="A1081" s="31" t="s">
        <v>126</v>
      </c>
      <c r="B1081" s="31" t="s">
        <v>10</v>
      </c>
      <c r="C1081" s="30"/>
      <c r="D1081" s="31" t="s">
        <v>44</v>
      </c>
      <c r="E1081" s="31"/>
      <c r="F1081" s="32">
        <f>WORKDAY(G1077,1)</f>
        <v>46461</v>
      </c>
      <c r="G1081" s="32">
        <f t="shared" si="141"/>
        <v>46472</v>
      </c>
      <c r="H1081" s="31">
        <v>10</v>
      </c>
      <c r="I1081" s="128"/>
    </row>
    <row r="1082" spans="1:9">
      <c r="A1082" s="31" t="s">
        <v>126</v>
      </c>
      <c r="B1082" s="58" t="s">
        <v>10</v>
      </c>
      <c r="C1082" s="34"/>
      <c r="D1082" s="31" t="s">
        <v>45</v>
      </c>
      <c r="E1082" s="31"/>
      <c r="F1082" s="32">
        <f>WORKDAY(G1077,1)</f>
        <v>46461</v>
      </c>
      <c r="G1082" s="32">
        <f t="shared" si="141"/>
        <v>46472</v>
      </c>
      <c r="H1082" s="31">
        <v>10</v>
      </c>
      <c r="I1082" s="31">
        <v>5</v>
      </c>
    </row>
    <row r="1083" spans="1:9">
      <c r="A1083" s="25" t="s">
        <v>126</v>
      </c>
      <c r="B1083" s="26" t="s">
        <v>10</v>
      </c>
      <c r="C1083" s="37"/>
      <c r="D1083" s="26" t="s">
        <v>47</v>
      </c>
      <c r="E1083" s="26"/>
      <c r="F1083" s="27">
        <f>WORKDAY(G1082,-4)</f>
        <v>46468</v>
      </c>
      <c r="G1083" s="28">
        <f t="shared" si="141"/>
        <v>46479</v>
      </c>
      <c r="H1083" s="26">
        <v>10</v>
      </c>
      <c r="I1083" s="26">
        <v>11</v>
      </c>
    </row>
    <row r="1084" spans="1:9">
      <c r="A1084" s="77" t="s">
        <v>126</v>
      </c>
      <c r="B1084" s="42" t="s">
        <v>10</v>
      </c>
      <c r="C1084" s="41"/>
      <c r="D1084" s="42" t="s">
        <v>50</v>
      </c>
      <c r="E1084" s="42"/>
      <c r="F1084" s="43">
        <f>WORKDAY(G1082,1)</f>
        <v>46475</v>
      </c>
      <c r="G1084" s="44">
        <f t="shared" si="141"/>
        <v>46475</v>
      </c>
      <c r="H1084" s="42">
        <v>1</v>
      </c>
      <c r="I1084" s="42">
        <v>0</v>
      </c>
    </row>
    <row r="1085" spans="1:9">
      <c r="A1085" s="21" t="s">
        <v>126</v>
      </c>
      <c r="B1085" s="47" t="s">
        <v>10</v>
      </c>
      <c r="C1085" s="46"/>
      <c r="D1085" s="47" t="s">
        <v>52</v>
      </c>
      <c r="E1085" s="47"/>
      <c r="F1085" s="48">
        <f>WORKDAY(G1083,1)</f>
        <v>46482</v>
      </c>
      <c r="G1085" s="22">
        <f t="shared" si="141"/>
        <v>46493</v>
      </c>
      <c r="H1085" s="47">
        <v>10</v>
      </c>
      <c r="I1085" s="47">
        <v>5</v>
      </c>
    </row>
    <row r="1086" spans="1:9">
      <c r="A1086" s="21" t="s">
        <v>126</v>
      </c>
      <c r="B1086" s="47" t="s">
        <v>10</v>
      </c>
      <c r="C1086" s="46"/>
      <c r="D1086" s="49" t="s">
        <v>55</v>
      </c>
      <c r="E1086" s="49"/>
      <c r="F1086" s="48">
        <f>WORKDAY(G1083,1)</f>
        <v>46482</v>
      </c>
      <c r="G1086" s="22">
        <f t="shared" si="141"/>
        <v>46493</v>
      </c>
      <c r="H1086" s="47">
        <v>10</v>
      </c>
      <c r="I1086" s="47">
        <v>0</v>
      </c>
    </row>
    <row r="1087" spans="1:9">
      <c r="A1087" s="52" t="s">
        <v>126</v>
      </c>
      <c r="B1087" s="52" t="s">
        <v>10</v>
      </c>
      <c r="C1087" s="51"/>
      <c r="D1087" s="52" t="s">
        <v>56</v>
      </c>
      <c r="E1087" s="52"/>
      <c r="F1087" s="53">
        <f t="shared" ref="F1087" si="142">WORKDAY(G1086,1)</f>
        <v>46496</v>
      </c>
      <c r="G1087" s="53">
        <f t="shared" si="141"/>
        <v>46507</v>
      </c>
      <c r="H1087" s="52">
        <v>10</v>
      </c>
      <c r="I1087" s="52">
        <v>7</v>
      </c>
    </row>
    <row r="1088" spans="1:9">
      <c r="A1088" s="52" t="s">
        <v>126</v>
      </c>
      <c r="B1088" s="52" t="s">
        <v>10</v>
      </c>
      <c r="C1088" s="51"/>
      <c r="D1088" s="52" t="s">
        <v>59</v>
      </c>
      <c r="E1088" s="52"/>
      <c r="F1088" s="53">
        <f>WORKDAY(G1086,1)</f>
        <v>46496</v>
      </c>
      <c r="G1088" s="53">
        <f t="shared" si="141"/>
        <v>46496</v>
      </c>
      <c r="H1088" s="52">
        <v>1</v>
      </c>
      <c r="I1088" s="52">
        <v>5</v>
      </c>
    </row>
    <row r="1089" spans="1:9">
      <c r="A1089" s="56" t="s">
        <v>126</v>
      </c>
      <c r="B1089" s="56" t="s">
        <v>10</v>
      </c>
      <c r="C1089" s="55"/>
      <c r="D1089" s="56" t="s">
        <v>62</v>
      </c>
      <c r="E1089" s="56"/>
      <c r="F1089" s="57">
        <f>WORKDAY(G1087,-4)</f>
        <v>46503</v>
      </c>
      <c r="G1089" s="57">
        <f t="shared" si="141"/>
        <v>46514</v>
      </c>
      <c r="H1089" s="56">
        <v>10</v>
      </c>
      <c r="I1089" s="56">
        <v>10</v>
      </c>
    </row>
    <row r="1090" spans="1:9">
      <c r="A1090" s="56" t="s">
        <v>126</v>
      </c>
      <c r="B1090" s="56" t="s">
        <v>10</v>
      </c>
      <c r="C1090" s="55"/>
      <c r="D1090" s="56" t="s">
        <v>64</v>
      </c>
      <c r="E1090" s="56"/>
      <c r="F1090" s="57">
        <f>WORKDAY(F1089,1)</f>
        <v>46504</v>
      </c>
      <c r="G1090" s="57">
        <f t="shared" si="141"/>
        <v>46514</v>
      </c>
      <c r="H1090" s="56">
        <v>9</v>
      </c>
      <c r="I1090" s="56">
        <v>0</v>
      </c>
    </row>
    <row r="1091" spans="1:9">
      <c r="A1091" s="31" t="s">
        <v>126</v>
      </c>
      <c r="B1091" s="58" t="s">
        <v>10</v>
      </c>
      <c r="C1091" s="34"/>
      <c r="D1091" s="58" t="s">
        <v>65</v>
      </c>
      <c r="E1091" s="58"/>
      <c r="F1091" s="59">
        <f>WORKDAY(G1089,1)</f>
        <v>46517</v>
      </c>
      <c r="G1091" s="32">
        <f t="shared" si="141"/>
        <v>46528</v>
      </c>
      <c r="H1091" s="58">
        <v>10</v>
      </c>
      <c r="I1091" s="58">
        <v>4</v>
      </c>
    </row>
    <row r="1092" spans="1:9">
      <c r="A1092" s="107" t="s">
        <v>126</v>
      </c>
      <c r="B1092" s="121" t="s">
        <v>10</v>
      </c>
      <c r="C1092" s="63"/>
      <c r="D1092" s="64" t="s">
        <v>68</v>
      </c>
      <c r="E1092" s="64"/>
      <c r="F1092" s="65">
        <f>WORKDAY(G1091,1)</f>
        <v>46531</v>
      </c>
      <c r="G1092" s="65">
        <f>WORKDAY(F1092,H1092-1,)</f>
        <v>46542</v>
      </c>
      <c r="H1092" s="64">
        <v>10</v>
      </c>
      <c r="I1092" s="130">
        <v>4</v>
      </c>
    </row>
    <row r="1093" spans="1:9">
      <c r="A1093" s="107" t="s">
        <v>126</v>
      </c>
      <c r="B1093" s="121" t="s">
        <v>10</v>
      </c>
      <c r="C1093" s="63"/>
      <c r="D1093" s="64" t="s">
        <v>71</v>
      </c>
      <c r="E1093" s="64"/>
      <c r="F1093" s="65">
        <f>WORKDAY(G1091,1)</f>
        <v>46531</v>
      </c>
      <c r="G1093" s="65">
        <f t="shared" ref="G1093:G1095" si="143">WORKDAY(F1092,H1092-1,)</f>
        <v>46542</v>
      </c>
      <c r="H1093" s="64">
        <v>10</v>
      </c>
      <c r="I1093" s="130"/>
    </row>
    <row r="1094" spans="1:9">
      <c r="A1094" s="107" t="s">
        <v>126</v>
      </c>
      <c r="B1094" s="121" t="s">
        <v>10</v>
      </c>
      <c r="C1094" s="63"/>
      <c r="D1094" s="64" t="s">
        <v>72</v>
      </c>
      <c r="E1094" s="64"/>
      <c r="F1094" s="65">
        <f>WORKDAY(G1091,1)</f>
        <v>46531</v>
      </c>
      <c r="G1094" s="65">
        <f t="shared" si="143"/>
        <v>46542</v>
      </c>
      <c r="H1094" s="64">
        <v>10</v>
      </c>
      <c r="I1094" s="130"/>
    </row>
    <row r="1095" spans="1:9">
      <c r="A1095" s="107" t="s">
        <v>126</v>
      </c>
      <c r="B1095" s="121" t="s">
        <v>10</v>
      </c>
      <c r="C1095" s="63"/>
      <c r="D1095" s="64" t="s">
        <v>73</v>
      </c>
      <c r="E1095" s="64"/>
      <c r="F1095" s="65">
        <f>WORKDAY(G1091,1)</f>
        <v>46531</v>
      </c>
      <c r="G1095" s="65">
        <f t="shared" si="143"/>
        <v>46542</v>
      </c>
      <c r="H1095" s="64">
        <v>10</v>
      </c>
      <c r="I1095" s="130"/>
    </row>
    <row r="1096" spans="1:9">
      <c r="A1096" s="107" t="s">
        <v>126</v>
      </c>
      <c r="B1096" s="121" t="s">
        <v>10</v>
      </c>
      <c r="C1096" s="63"/>
      <c r="D1096" s="64" t="s">
        <v>74</v>
      </c>
      <c r="E1096" s="64"/>
      <c r="F1096" s="65">
        <f>WORKDAY(G1091,1)</f>
        <v>46531</v>
      </c>
      <c r="G1096" s="66">
        <f>WORKDAY(F1096,H1096-1,)</f>
        <v>46542</v>
      </c>
      <c r="H1096" s="64">
        <v>10</v>
      </c>
      <c r="I1096" s="64">
        <v>6</v>
      </c>
    </row>
    <row r="1097" spans="1:9">
      <c r="A1097" s="107" t="s">
        <v>126</v>
      </c>
      <c r="B1097" s="121" t="s">
        <v>10</v>
      </c>
      <c r="C1097" s="63"/>
      <c r="D1097" s="64" t="s">
        <v>77</v>
      </c>
      <c r="E1097" s="64"/>
      <c r="F1097" s="65">
        <f>WORKDAY(G1091,1)</f>
        <v>46531</v>
      </c>
      <c r="G1097" s="66">
        <f t="shared" ref="G1097:G1119" si="144">WORKDAY(F1097,H1097-1,)</f>
        <v>46542</v>
      </c>
      <c r="H1097" s="64">
        <v>10</v>
      </c>
      <c r="I1097" s="64">
        <v>1</v>
      </c>
    </row>
    <row r="1098" spans="1:9">
      <c r="A1098" s="107" t="s">
        <v>126</v>
      </c>
      <c r="B1098" s="121" t="s">
        <v>10</v>
      </c>
      <c r="C1098" s="63"/>
      <c r="D1098" s="64" t="s">
        <v>80</v>
      </c>
      <c r="E1098" s="64"/>
      <c r="F1098" s="65">
        <f>WORKDAY(G1091,1)</f>
        <v>46531</v>
      </c>
      <c r="G1098" s="66">
        <f t="shared" si="144"/>
        <v>46542</v>
      </c>
      <c r="H1098" s="64">
        <v>10</v>
      </c>
      <c r="I1098" s="64">
        <v>0</v>
      </c>
    </row>
    <row r="1099" spans="1:9">
      <c r="A1099" s="107" t="s">
        <v>126</v>
      </c>
      <c r="B1099" s="121" t="s">
        <v>10</v>
      </c>
      <c r="C1099" s="63"/>
      <c r="D1099" s="64" t="s">
        <v>81</v>
      </c>
      <c r="E1099" s="64"/>
      <c r="F1099" s="65">
        <f>WORKDAY(G1091,1)</f>
        <v>46531</v>
      </c>
      <c r="G1099" s="66">
        <f t="shared" si="144"/>
        <v>46542</v>
      </c>
      <c r="H1099" s="64">
        <v>10</v>
      </c>
      <c r="I1099" s="64">
        <v>4</v>
      </c>
    </row>
    <row r="1100" spans="1:9">
      <c r="A1100" s="70" t="s">
        <v>126</v>
      </c>
      <c r="B1100" s="70" t="s">
        <v>10</v>
      </c>
      <c r="C1100" s="69"/>
      <c r="D1100" s="70" t="s">
        <v>82</v>
      </c>
      <c r="E1100" s="70"/>
      <c r="F1100" s="71">
        <f t="shared" ref="F1100" si="145">WORKDAY(G1099,1)</f>
        <v>46545</v>
      </c>
      <c r="G1100" s="71">
        <f t="shared" si="144"/>
        <v>46556</v>
      </c>
      <c r="H1100" s="70">
        <v>10</v>
      </c>
      <c r="I1100" s="70">
        <v>4</v>
      </c>
    </row>
    <row r="1101" spans="1:9">
      <c r="A1101" s="77" t="s">
        <v>126</v>
      </c>
      <c r="B1101" s="75" t="s">
        <v>10</v>
      </c>
      <c r="C1101" s="74"/>
      <c r="D1101" s="75" t="s">
        <v>85</v>
      </c>
      <c r="E1101" s="75"/>
      <c r="F1101" s="76">
        <f>WORKDAY(G1100,-1)</f>
        <v>46555</v>
      </c>
      <c r="G1101" s="44">
        <f t="shared" si="144"/>
        <v>46559</v>
      </c>
      <c r="H1101" s="75">
        <v>3</v>
      </c>
      <c r="I1101" s="75">
        <v>12</v>
      </c>
    </row>
    <row r="1102" spans="1:9">
      <c r="A1102" s="77" t="s">
        <v>126</v>
      </c>
      <c r="B1102" s="75" t="s">
        <v>10</v>
      </c>
      <c r="C1102" s="74"/>
      <c r="D1102" s="75" t="s">
        <v>86</v>
      </c>
      <c r="E1102" s="75"/>
      <c r="F1102" s="76">
        <f>WORKDAY(G1100,1)</f>
        <v>46559</v>
      </c>
      <c r="G1102" s="44">
        <f t="shared" si="144"/>
        <v>46570</v>
      </c>
      <c r="H1102" s="75">
        <v>10</v>
      </c>
      <c r="I1102" s="75">
        <v>0</v>
      </c>
    </row>
    <row r="1103" spans="1:9">
      <c r="A1103" s="78" t="s">
        <v>126</v>
      </c>
      <c r="B1103" s="79" t="s">
        <v>10</v>
      </c>
      <c r="C1103" s="80"/>
      <c r="D1103" s="79" t="s">
        <v>87</v>
      </c>
      <c r="E1103" s="79"/>
      <c r="F1103" s="81">
        <f>WORKDAY(F1101,4)</f>
        <v>46561</v>
      </c>
      <c r="G1103" s="82">
        <f t="shared" si="144"/>
        <v>46574</v>
      </c>
      <c r="H1103" s="79">
        <v>10</v>
      </c>
      <c r="I1103" s="79">
        <v>4</v>
      </c>
    </row>
    <row r="1104" spans="1:9">
      <c r="A1104" s="83" t="s">
        <v>126</v>
      </c>
      <c r="B1104" s="83" t="s">
        <v>10</v>
      </c>
      <c r="C1104" s="84"/>
      <c r="D1104" s="83" t="s">
        <v>89</v>
      </c>
      <c r="E1104" s="83"/>
      <c r="F1104" s="85">
        <f>WORKDAY(F1103,3)</f>
        <v>46566</v>
      </c>
      <c r="G1104" s="85">
        <f t="shared" si="144"/>
        <v>46577</v>
      </c>
      <c r="H1104" s="83">
        <v>10</v>
      </c>
      <c r="I1104" s="127">
        <v>1</v>
      </c>
    </row>
    <row r="1105" spans="1:9">
      <c r="A1105" s="83" t="s">
        <v>126</v>
      </c>
      <c r="B1105" s="83" t="s">
        <v>10</v>
      </c>
      <c r="C1105" s="84"/>
      <c r="D1105" s="83" t="s">
        <v>91</v>
      </c>
      <c r="E1105" s="83"/>
      <c r="F1105" s="85">
        <f>WORKDAY(F1103,3)</f>
        <v>46566</v>
      </c>
      <c r="G1105" s="85">
        <f t="shared" si="144"/>
        <v>46577</v>
      </c>
      <c r="H1105" s="83">
        <v>10</v>
      </c>
      <c r="I1105" s="127"/>
    </row>
    <row r="1106" spans="1:9">
      <c r="A1106" s="83" t="s">
        <v>126</v>
      </c>
      <c r="B1106" s="83" t="s">
        <v>10</v>
      </c>
      <c r="C1106" s="84"/>
      <c r="D1106" s="83" t="s">
        <v>92</v>
      </c>
      <c r="E1106" s="83"/>
      <c r="F1106" s="85">
        <f>WORKDAY(F1103,3)</f>
        <v>46566</v>
      </c>
      <c r="G1106" s="85">
        <f t="shared" si="144"/>
        <v>46577</v>
      </c>
      <c r="H1106" s="83">
        <v>10</v>
      </c>
      <c r="I1106" s="127"/>
    </row>
    <row r="1107" spans="1:9">
      <c r="A1107" s="83" t="s">
        <v>126</v>
      </c>
      <c r="B1107" s="83" t="s">
        <v>10</v>
      </c>
      <c r="C1107" s="84"/>
      <c r="D1107" s="83" t="s">
        <v>93</v>
      </c>
      <c r="E1107" s="83"/>
      <c r="F1107" s="85">
        <f>WORKDAY(F1103,3)</f>
        <v>46566</v>
      </c>
      <c r="G1107" s="85">
        <f t="shared" si="144"/>
        <v>46577</v>
      </c>
      <c r="H1107" s="83">
        <v>10</v>
      </c>
      <c r="I1107" s="127"/>
    </row>
    <row r="1108" spans="1:9">
      <c r="A1108" s="83" t="s">
        <v>126</v>
      </c>
      <c r="B1108" s="83" t="s">
        <v>10</v>
      </c>
      <c r="C1108" s="84"/>
      <c r="D1108" s="83" t="s">
        <v>94</v>
      </c>
      <c r="E1108" s="83"/>
      <c r="F1108" s="85">
        <f>WORKDAY(F1103,3)</f>
        <v>46566</v>
      </c>
      <c r="G1108" s="85">
        <f t="shared" si="144"/>
        <v>46577</v>
      </c>
      <c r="H1108" s="83">
        <v>10</v>
      </c>
      <c r="I1108" s="83">
        <v>1</v>
      </c>
    </row>
    <row r="1109" spans="1:9">
      <c r="A1109" s="86" t="s">
        <v>126</v>
      </c>
      <c r="B1109" s="86" t="s">
        <v>10</v>
      </c>
      <c r="C1109" s="87"/>
      <c r="D1109" s="86" t="s">
        <v>95</v>
      </c>
      <c r="E1109" s="86"/>
      <c r="F1109" s="88">
        <f>WORKDAY(F1108,3)</f>
        <v>46569</v>
      </c>
      <c r="G1109" s="88">
        <f t="shared" si="144"/>
        <v>46577</v>
      </c>
      <c r="H1109" s="86">
        <v>7</v>
      </c>
      <c r="I1109" s="86">
        <v>0</v>
      </c>
    </row>
    <row r="1110" spans="1:9">
      <c r="A1110" s="89" t="s">
        <v>126</v>
      </c>
      <c r="B1110" s="89" t="s">
        <v>10</v>
      </c>
      <c r="C1110" s="90"/>
      <c r="D1110" s="89" t="s">
        <v>96</v>
      </c>
      <c r="E1110" s="89"/>
      <c r="F1110" s="91">
        <f>WORKDAY(F1109,2)</f>
        <v>46573</v>
      </c>
      <c r="G1110" s="91">
        <f t="shared" si="144"/>
        <v>46584</v>
      </c>
      <c r="H1110" s="89">
        <v>10</v>
      </c>
      <c r="I1110" s="89">
        <v>2</v>
      </c>
    </row>
    <row r="1111" spans="1:9">
      <c r="A1111" s="89" t="s">
        <v>126</v>
      </c>
      <c r="B1111" s="89" t="s">
        <v>10</v>
      </c>
      <c r="C1111" s="90"/>
      <c r="D1111" s="89" t="s">
        <v>98</v>
      </c>
      <c r="E1111" s="89"/>
      <c r="F1111" s="91">
        <f>WORKDAY(F1109,2)</f>
        <v>46573</v>
      </c>
      <c r="G1111" s="91">
        <f t="shared" si="144"/>
        <v>46584</v>
      </c>
      <c r="H1111" s="89">
        <v>10</v>
      </c>
      <c r="I1111" s="89">
        <v>9</v>
      </c>
    </row>
    <row r="1112" spans="1:9">
      <c r="A1112" s="89" t="s">
        <v>126</v>
      </c>
      <c r="B1112" s="89" t="s">
        <v>10</v>
      </c>
      <c r="C1112" s="90"/>
      <c r="D1112" s="89" t="s">
        <v>101</v>
      </c>
      <c r="E1112" s="89"/>
      <c r="F1112" s="91">
        <f>WORKDAY(F1109,2)</f>
        <v>46573</v>
      </c>
      <c r="G1112" s="91">
        <f t="shared" si="144"/>
        <v>46584</v>
      </c>
      <c r="H1112" s="89">
        <v>10</v>
      </c>
      <c r="I1112" s="89">
        <v>0</v>
      </c>
    </row>
    <row r="1113" spans="1:9">
      <c r="A1113" s="38" t="s">
        <v>126</v>
      </c>
      <c r="B1113" s="38" t="s">
        <v>10</v>
      </c>
      <c r="C1113" s="92"/>
      <c r="D1113" s="38" t="s">
        <v>103</v>
      </c>
      <c r="E1113" s="38"/>
      <c r="F1113" s="93">
        <f>WORKDAY(G1111,-4)</f>
        <v>46580</v>
      </c>
      <c r="G1113" s="93">
        <f t="shared" si="144"/>
        <v>46582</v>
      </c>
      <c r="H1113" s="38">
        <v>3</v>
      </c>
      <c r="I1113" s="38">
        <v>0</v>
      </c>
    </row>
    <row r="1114" spans="1:9">
      <c r="A1114" s="38" t="s">
        <v>126</v>
      </c>
      <c r="B1114" s="38" t="s">
        <v>10</v>
      </c>
      <c r="C1114" s="92"/>
      <c r="D1114" s="38" t="s">
        <v>106</v>
      </c>
      <c r="E1114" s="38"/>
      <c r="F1114" s="93">
        <f>WORKDAY(G1111,-4)</f>
        <v>46580</v>
      </c>
      <c r="G1114" s="93">
        <f t="shared" si="144"/>
        <v>46591</v>
      </c>
      <c r="H1114" s="38">
        <v>10</v>
      </c>
      <c r="I1114" s="38">
        <v>10</v>
      </c>
    </row>
    <row r="1115" spans="1:9">
      <c r="A1115" s="38" t="s">
        <v>126</v>
      </c>
      <c r="B1115" s="38" t="s">
        <v>10</v>
      </c>
      <c r="C1115" s="92"/>
      <c r="D1115" s="38" t="s">
        <v>108</v>
      </c>
      <c r="E1115" s="38"/>
      <c r="F1115" s="93">
        <f>WORKDAY(G1111,-4)</f>
        <v>46580</v>
      </c>
      <c r="G1115" s="93">
        <f t="shared" si="144"/>
        <v>46591</v>
      </c>
      <c r="H1115" s="38">
        <v>10</v>
      </c>
      <c r="I1115" s="38">
        <v>6</v>
      </c>
    </row>
    <row r="1116" spans="1:9">
      <c r="A1116" s="94" t="s">
        <v>126</v>
      </c>
      <c r="B1116" s="94" t="s">
        <v>10</v>
      </c>
      <c r="C1116" s="95"/>
      <c r="D1116" s="96" t="s">
        <v>109</v>
      </c>
      <c r="E1116" s="96"/>
      <c r="F1116" s="97">
        <f>WORKDAY(G1111,1)</f>
        <v>46587</v>
      </c>
      <c r="G1116" s="97">
        <f t="shared" si="144"/>
        <v>46598</v>
      </c>
      <c r="H1116" s="94">
        <v>10</v>
      </c>
      <c r="I1116" s="94">
        <v>0</v>
      </c>
    </row>
    <row r="1117" spans="1:9">
      <c r="A1117" s="94" t="s">
        <v>126</v>
      </c>
      <c r="B1117" s="94" t="s">
        <v>10</v>
      </c>
      <c r="C1117" s="95"/>
      <c r="D1117" s="96" t="s">
        <v>112</v>
      </c>
      <c r="E1117" s="96"/>
      <c r="F1117" s="97">
        <f>WORKDAY(G1111,1)</f>
        <v>46587</v>
      </c>
      <c r="G1117" s="97">
        <f t="shared" si="144"/>
        <v>46598</v>
      </c>
      <c r="H1117" s="94">
        <v>10</v>
      </c>
      <c r="I1117" s="94">
        <v>0</v>
      </c>
    </row>
    <row r="1118" spans="1:9">
      <c r="A1118" s="77" t="s">
        <v>126</v>
      </c>
      <c r="B1118" s="77" t="s">
        <v>10</v>
      </c>
      <c r="C1118" s="98"/>
      <c r="D1118" s="77" t="s">
        <v>113</v>
      </c>
      <c r="E1118" s="77"/>
      <c r="F1118" s="44">
        <f>WORKDAY(G1116,-4)</f>
        <v>46594</v>
      </c>
      <c r="G1118" s="44">
        <f t="shared" si="144"/>
        <v>46598</v>
      </c>
      <c r="H1118" s="77">
        <v>5</v>
      </c>
      <c r="I1118" s="77">
        <v>1</v>
      </c>
    </row>
    <row r="1119" spans="1:9">
      <c r="A1119" s="77" t="s">
        <v>126</v>
      </c>
      <c r="B1119" s="77" t="s">
        <v>10</v>
      </c>
      <c r="C1119" s="98"/>
      <c r="D1119" s="77" t="s">
        <v>116</v>
      </c>
      <c r="E1119" s="77"/>
      <c r="F1119" s="44">
        <f>WORKDAY(G1116,-4)</f>
        <v>46594</v>
      </c>
      <c r="G1119" s="44">
        <f t="shared" si="144"/>
        <v>46598</v>
      </c>
      <c r="H1119" s="77">
        <v>5</v>
      </c>
      <c r="I1119" s="77">
        <v>0</v>
      </c>
    </row>
    <row r="1120" spans="1:9">
      <c r="A1120" s="5" t="s">
        <v>126</v>
      </c>
      <c r="B1120" s="99" t="s">
        <v>117</v>
      </c>
      <c r="C1120" s="100"/>
      <c r="D1120" s="6" t="s">
        <v>11</v>
      </c>
      <c r="E1120" s="6"/>
      <c r="F1120" s="8">
        <f>WORKDAY(G1069,1)</f>
        <v>46440</v>
      </c>
      <c r="G1120" s="8">
        <f>WORKDAY(F1120,H1120-1,)</f>
        <v>46451</v>
      </c>
      <c r="H1120" s="6">
        <v>10</v>
      </c>
      <c r="I1120" s="6">
        <v>36</v>
      </c>
    </row>
    <row r="1121" spans="1:9">
      <c r="A1121" s="5" t="s">
        <v>126</v>
      </c>
      <c r="B1121" s="99" t="s">
        <v>117</v>
      </c>
      <c r="C1121" s="100"/>
      <c r="D1121" s="6" t="s">
        <v>13</v>
      </c>
      <c r="E1121" s="6"/>
      <c r="F1121" s="8">
        <f>WORKDAY(G1069,1)</f>
        <v>46440</v>
      </c>
      <c r="G1121" s="8">
        <f t="shared" ref="G1121" si="146">WORKDAY(F1121,H1121-1,)</f>
        <v>46451</v>
      </c>
      <c r="H1121" s="6">
        <v>10</v>
      </c>
      <c r="I1121" s="6">
        <v>1</v>
      </c>
    </row>
    <row r="1122" spans="1:9">
      <c r="A1122" s="5" t="s">
        <v>126</v>
      </c>
      <c r="B1122" s="99" t="s">
        <v>117</v>
      </c>
      <c r="C1122" s="100"/>
      <c r="D1122" s="6" t="s">
        <v>15</v>
      </c>
      <c r="E1122" s="6"/>
      <c r="F1122" s="8">
        <f>WORKDAY(G1069,1)</f>
        <v>46440</v>
      </c>
      <c r="G1122" s="8">
        <f>WORKDAY(F1122,H1122-1,)</f>
        <v>46451</v>
      </c>
      <c r="H1122" s="6">
        <v>10</v>
      </c>
      <c r="I1122" s="6">
        <v>1</v>
      </c>
    </row>
    <row r="1123" spans="1:9">
      <c r="A1123" s="11" t="s">
        <v>126</v>
      </c>
      <c r="B1123" s="101" t="s">
        <v>117</v>
      </c>
      <c r="C1123" s="102"/>
      <c r="D1123" s="11" t="s">
        <v>16</v>
      </c>
      <c r="E1123" s="11"/>
      <c r="F1123" s="12">
        <f>WORKDAY(G1122,-4)</f>
        <v>46447</v>
      </c>
      <c r="G1123" s="12">
        <f t="shared" ref="G1123:G1130" si="147">WORKDAY(F1123,H1123-1,)</f>
        <v>46458</v>
      </c>
      <c r="H1123" s="11">
        <v>10</v>
      </c>
      <c r="I1123" s="11">
        <v>5</v>
      </c>
    </row>
    <row r="1124" spans="1:9">
      <c r="A1124" s="11" t="s">
        <v>126</v>
      </c>
      <c r="B1124" s="101" t="s">
        <v>117</v>
      </c>
      <c r="C1124" s="102"/>
      <c r="D1124" s="11" t="s">
        <v>18</v>
      </c>
      <c r="E1124" s="11"/>
      <c r="F1124" s="12">
        <f>WORKDAY(G1122,-4)</f>
        <v>46447</v>
      </c>
      <c r="G1124" s="12">
        <f t="shared" si="147"/>
        <v>46458</v>
      </c>
      <c r="H1124" s="11">
        <v>10</v>
      </c>
      <c r="I1124" s="13">
        <v>4</v>
      </c>
    </row>
    <row r="1125" spans="1:9">
      <c r="A1125" s="11" t="s">
        <v>126</v>
      </c>
      <c r="B1125" s="101" t="s">
        <v>117</v>
      </c>
      <c r="C1125" s="102"/>
      <c r="D1125" s="11" t="s">
        <v>21</v>
      </c>
      <c r="E1125" s="11"/>
      <c r="F1125" s="12">
        <f>WORKDAY(G1122,-4)</f>
        <v>46447</v>
      </c>
      <c r="G1125" s="12">
        <f t="shared" si="147"/>
        <v>46458</v>
      </c>
      <c r="H1125" s="11">
        <v>10</v>
      </c>
      <c r="I1125" s="11">
        <v>3</v>
      </c>
    </row>
    <row r="1126" spans="1:9">
      <c r="A1126" s="11" t="s">
        <v>126</v>
      </c>
      <c r="B1126" s="101" t="s">
        <v>117</v>
      </c>
      <c r="C1126" s="102"/>
      <c r="D1126" s="11" t="s">
        <v>24</v>
      </c>
      <c r="E1126" s="11"/>
      <c r="F1126" s="12">
        <f>WORKDAY(G1122,-4)</f>
        <v>46447</v>
      </c>
      <c r="G1126" s="12">
        <f t="shared" si="147"/>
        <v>46458</v>
      </c>
      <c r="H1126" s="11">
        <v>10</v>
      </c>
      <c r="I1126" s="11">
        <v>0</v>
      </c>
    </row>
    <row r="1127" spans="1:9">
      <c r="A1127" s="17" t="s">
        <v>126</v>
      </c>
      <c r="B1127" s="103" t="s">
        <v>117</v>
      </c>
      <c r="C1127" s="104"/>
      <c r="D1127" s="17" t="s">
        <v>26</v>
      </c>
      <c r="E1127" s="17"/>
      <c r="F1127" s="18">
        <f>WORKDAY(G1126,-4)</f>
        <v>46454</v>
      </c>
      <c r="G1127" s="18">
        <f t="shared" si="147"/>
        <v>46465</v>
      </c>
      <c r="H1127" s="17">
        <v>10</v>
      </c>
      <c r="I1127" s="17">
        <v>2</v>
      </c>
    </row>
    <row r="1128" spans="1:9">
      <c r="A1128" s="21" t="s">
        <v>126</v>
      </c>
      <c r="B1128" s="21" t="s">
        <v>117</v>
      </c>
      <c r="C1128" s="20"/>
      <c r="D1128" s="21" t="s">
        <v>29</v>
      </c>
      <c r="E1128" s="21"/>
      <c r="F1128" s="22">
        <f>WORKDAY(F1127,5)</f>
        <v>46461</v>
      </c>
      <c r="G1128" s="22">
        <f t="shared" si="147"/>
        <v>46465</v>
      </c>
      <c r="H1128" s="21">
        <v>5</v>
      </c>
      <c r="I1128" s="21">
        <v>4</v>
      </c>
    </row>
    <row r="1129" spans="1:9">
      <c r="A1129" s="21" t="s">
        <v>126</v>
      </c>
      <c r="B1129" s="21" t="s">
        <v>117</v>
      </c>
      <c r="C1129" s="20"/>
      <c r="D1129" s="21" t="s">
        <v>32</v>
      </c>
      <c r="E1129" s="21"/>
      <c r="F1129" s="22">
        <f>WORKDAY(G1127,1)</f>
        <v>46468</v>
      </c>
      <c r="G1129" s="22">
        <f t="shared" si="147"/>
        <v>46472</v>
      </c>
      <c r="H1129" s="21">
        <v>5</v>
      </c>
      <c r="I1129" s="21">
        <v>1</v>
      </c>
    </row>
    <row r="1130" spans="1:9">
      <c r="A1130" s="21" t="s">
        <v>126</v>
      </c>
      <c r="B1130" s="21" t="s">
        <v>117</v>
      </c>
      <c r="C1130" s="20"/>
      <c r="D1130" s="21" t="s">
        <v>34</v>
      </c>
      <c r="E1130" s="21"/>
      <c r="F1130" s="22">
        <f>WORKDAY(G1124,1)</f>
        <v>46461</v>
      </c>
      <c r="G1130" s="22">
        <f t="shared" si="147"/>
        <v>46472</v>
      </c>
      <c r="H1130" s="21">
        <v>10</v>
      </c>
      <c r="I1130" s="21">
        <v>3</v>
      </c>
    </row>
    <row r="1131" spans="1:9">
      <c r="A1131" s="31" t="s">
        <v>126</v>
      </c>
      <c r="B1131" s="31" t="s">
        <v>117</v>
      </c>
      <c r="C1131" s="30"/>
      <c r="D1131" s="31" t="s">
        <v>37</v>
      </c>
      <c r="E1131" s="31"/>
      <c r="F1131" s="32">
        <f>WORKDAY(G1130,1)</f>
        <v>46475</v>
      </c>
      <c r="G1131" s="32">
        <f>WORKDAY(F1131,H1131-1,)</f>
        <v>46486</v>
      </c>
      <c r="H1131" s="31">
        <v>10</v>
      </c>
      <c r="I1131" s="128">
        <v>5</v>
      </c>
    </row>
    <row r="1132" spans="1:9">
      <c r="A1132" s="31" t="s">
        <v>126</v>
      </c>
      <c r="B1132" s="31" t="s">
        <v>117</v>
      </c>
      <c r="C1132" s="30"/>
      <c r="D1132" s="31" t="s">
        <v>40</v>
      </c>
      <c r="E1132" s="31"/>
      <c r="F1132" s="32">
        <f>WORKDAY(G1130,1)</f>
        <v>46475</v>
      </c>
      <c r="G1132" s="32">
        <f t="shared" ref="G1132:G1144" si="148">WORKDAY(F1132,H1132-1,)</f>
        <v>46486</v>
      </c>
      <c r="H1132" s="31">
        <v>10</v>
      </c>
      <c r="I1132" s="128"/>
    </row>
    <row r="1133" spans="1:9">
      <c r="A1133" s="31" t="s">
        <v>126</v>
      </c>
      <c r="B1133" s="31" t="s">
        <v>117</v>
      </c>
      <c r="C1133" s="30"/>
      <c r="D1133" s="31" t="s">
        <v>42</v>
      </c>
      <c r="E1133" s="31"/>
      <c r="F1133" s="32">
        <f>WORKDAY(G1130,1)</f>
        <v>46475</v>
      </c>
      <c r="G1133" s="32">
        <f t="shared" si="148"/>
        <v>46486</v>
      </c>
      <c r="H1133" s="31">
        <v>10</v>
      </c>
      <c r="I1133" s="128"/>
    </row>
    <row r="1134" spans="1:9">
      <c r="A1134" s="31" t="s">
        <v>126</v>
      </c>
      <c r="B1134" s="31" t="s">
        <v>117</v>
      </c>
      <c r="C1134" s="30"/>
      <c r="D1134" s="31" t="s">
        <v>44</v>
      </c>
      <c r="E1134" s="31"/>
      <c r="F1134" s="32">
        <f>WORKDAY(G1130,1)</f>
        <v>46475</v>
      </c>
      <c r="G1134" s="32">
        <f t="shared" si="148"/>
        <v>46486</v>
      </c>
      <c r="H1134" s="31">
        <v>10</v>
      </c>
      <c r="I1134" s="128"/>
    </row>
    <row r="1135" spans="1:9">
      <c r="A1135" s="31" t="s">
        <v>126</v>
      </c>
      <c r="B1135" s="31" t="s">
        <v>117</v>
      </c>
      <c r="C1135" s="30"/>
      <c r="D1135" s="31" t="s">
        <v>45</v>
      </c>
      <c r="E1135" s="31"/>
      <c r="F1135" s="32">
        <f>WORKDAY(G1130,1)</f>
        <v>46475</v>
      </c>
      <c r="G1135" s="32">
        <f t="shared" si="148"/>
        <v>46486</v>
      </c>
      <c r="H1135" s="31">
        <v>10</v>
      </c>
      <c r="I1135" s="31">
        <v>5</v>
      </c>
    </row>
    <row r="1136" spans="1:9">
      <c r="A1136" s="25" t="s">
        <v>126</v>
      </c>
      <c r="B1136" s="25" t="s">
        <v>117</v>
      </c>
      <c r="C1136" s="105"/>
      <c r="D1136" s="26" t="s">
        <v>47</v>
      </c>
      <c r="E1136" s="26"/>
      <c r="F1136" s="27">
        <f>WORKDAY(G1135,-4)</f>
        <v>46482</v>
      </c>
      <c r="G1136" s="28">
        <f t="shared" si="148"/>
        <v>46493</v>
      </c>
      <c r="H1136" s="26">
        <v>10</v>
      </c>
      <c r="I1136" s="26">
        <v>11</v>
      </c>
    </row>
    <row r="1137" spans="1:9">
      <c r="A1137" s="77" t="s">
        <v>126</v>
      </c>
      <c r="B1137" s="77" t="s">
        <v>117</v>
      </c>
      <c r="C1137" s="98"/>
      <c r="D1137" s="42" t="s">
        <v>50</v>
      </c>
      <c r="E1137" s="42"/>
      <c r="F1137" s="43">
        <f>WORKDAY(G1135,1)</f>
        <v>46489</v>
      </c>
      <c r="G1137" s="44">
        <f t="shared" si="148"/>
        <v>46489</v>
      </c>
      <c r="H1137" s="42">
        <v>1</v>
      </c>
      <c r="I1137" s="42">
        <v>0</v>
      </c>
    </row>
    <row r="1138" spans="1:9">
      <c r="A1138" s="21" t="s">
        <v>126</v>
      </c>
      <c r="B1138" s="21" t="s">
        <v>117</v>
      </c>
      <c r="C1138" s="20"/>
      <c r="D1138" s="47" t="s">
        <v>52</v>
      </c>
      <c r="E1138" s="47"/>
      <c r="F1138" s="48">
        <f>WORKDAY(G1136,1)</f>
        <v>46496</v>
      </c>
      <c r="G1138" s="22">
        <f t="shared" si="148"/>
        <v>46507</v>
      </c>
      <c r="H1138" s="47">
        <v>10</v>
      </c>
      <c r="I1138" s="47">
        <v>5</v>
      </c>
    </row>
    <row r="1139" spans="1:9">
      <c r="A1139" s="21" t="s">
        <v>126</v>
      </c>
      <c r="B1139" s="21" t="s">
        <v>117</v>
      </c>
      <c r="C1139" s="20"/>
      <c r="D1139" s="49" t="s">
        <v>55</v>
      </c>
      <c r="E1139" s="49"/>
      <c r="F1139" s="48">
        <f>WORKDAY(G1136,1)</f>
        <v>46496</v>
      </c>
      <c r="G1139" s="22">
        <f t="shared" si="148"/>
        <v>46507</v>
      </c>
      <c r="H1139" s="47">
        <v>10</v>
      </c>
      <c r="I1139" s="47">
        <v>0</v>
      </c>
    </row>
    <row r="1140" spans="1:9">
      <c r="A1140" s="52" t="s">
        <v>126</v>
      </c>
      <c r="B1140" s="52" t="s">
        <v>117</v>
      </c>
      <c r="C1140" s="51"/>
      <c r="D1140" s="52" t="s">
        <v>56</v>
      </c>
      <c r="E1140" s="52"/>
      <c r="F1140" s="53">
        <f t="shared" ref="F1140" si="149">WORKDAY(G1139,1)</f>
        <v>46510</v>
      </c>
      <c r="G1140" s="53">
        <f t="shared" si="148"/>
        <v>46521</v>
      </c>
      <c r="H1140" s="52">
        <v>10</v>
      </c>
      <c r="I1140" s="52">
        <v>7</v>
      </c>
    </row>
    <row r="1141" spans="1:9">
      <c r="A1141" s="52" t="s">
        <v>126</v>
      </c>
      <c r="B1141" s="52" t="s">
        <v>117</v>
      </c>
      <c r="C1141" s="51"/>
      <c r="D1141" s="52" t="s">
        <v>59</v>
      </c>
      <c r="E1141" s="52"/>
      <c r="F1141" s="53">
        <f>WORKDAY(G1139,1)</f>
        <v>46510</v>
      </c>
      <c r="G1141" s="53">
        <f t="shared" si="148"/>
        <v>46510</v>
      </c>
      <c r="H1141" s="52">
        <v>1</v>
      </c>
      <c r="I1141" s="52">
        <v>5</v>
      </c>
    </row>
    <row r="1142" spans="1:9">
      <c r="A1142" s="124" t="s">
        <v>126</v>
      </c>
      <c r="B1142" s="56" t="s">
        <v>117</v>
      </c>
      <c r="C1142" s="55"/>
      <c r="D1142" s="56" t="s">
        <v>62</v>
      </c>
      <c r="E1142" s="56"/>
      <c r="F1142" s="57">
        <f>WORKDAY(G1140,-4)</f>
        <v>46517</v>
      </c>
      <c r="G1142" s="57">
        <f t="shared" si="148"/>
        <v>46528</v>
      </c>
      <c r="H1142" s="56">
        <v>10</v>
      </c>
      <c r="I1142" s="56">
        <v>10</v>
      </c>
    </row>
    <row r="1143" spans="1:9">
      <c r="A1143" s="124" t="s">
        <v>126</v>
      </c>
      <c r="B1143" s="56" t="s">
        <v>117</v>
      </c>
      <c r="C1143" s="55"/>
      <c r="D1143" s="56" t="s">
        <v>64</v>
      </c>
      <c r="E1143" s="56"/>
      <c r="F1143" s="57">
        <f>WORKDAY(F1142,1)</f>
        <v>46518</v>
      </c>
      <c r="G1143" s="57">
        <f t="shared" si="148"/>
        <v>46528</v>
      </c>
      <c r="H1143" s="56">
        <v>9</v>
      </c>
      <c r="I1143" s="56">
        <v>0</v>
      </c>
    </row>
    <row r="1144" spans="1:9">
      <c r="A1144" s="31" t="s">
        <v>126</v>
      </c>
      <c r="B1144" s="31" t="s">
        <v>117</v>
      </c>
      <c r="C1144" s="30"/>
      <c r="D1144" s="58" t="s">
        <v>65</v>
      </c>
      <c r="E1144" s="58"/>
      <c r="F1144" s="59">
        <f>WORKDAY(G1142,1)</f>
        <v>46531</v>
      </c>
      <c r="G1144" s="32">
        <f t="shared" si="148"/>
        <v>46542</v>
      </c>
      <c r="H1144" s="58">
        <v>10</v>
      </c>
      <c r="I1144" s="58">
        <v>4</v>
      </c>
    </row>
    <row r="1145" spans="1:9">
      <c r="A1145" s="106" t="s">
        <v>126</v>
      </c>
      <c r="B1145" s="107" t="s">
        <v>117</v>
      </c>
      <c r="C1145" s="108"/>
      <c r="D1145" s="64" t="s">
        <v>68</v>
      </c>
      <c r="E1145" s="64"/>
      <c r="F1145" s="65">
        <f>WORKDAY(G1144,1)</f>
        <v>46545</v>
      </c>
      <c r="G1145" s="65">
        <f>WORKDAY(F1145,H1145-1,)</f>
        <v>46556</v>
      </c>
      <c r="H1145" s="64">
        <v>10</v>
      </c>
      <c r="I1145" s="130">
        <v>4</v>
      </c>
    </row>
    <row r="1146" spans="1:9">
      <c r="A1146" s="106" t="s">
        <v>126</v>
      </c>
      <c r="B1146" s="107" t="s">
        <v>117</v>
      </c>
      <c r="C1146" s="108"/>
      <c r="D1146" s="64" t="s">
        <v>71</v>
      </c>
      <c r="E1146" s="64"/>
      <c r="F1146" s="65">
        <f>WORKDAY(G1144,1)</f>
        <v>46545</v>
      </c>
      <c r="G1146" s="65">
        <f t="shared" ref="G1146:G1148" si="150">WORKDAY(F1145,H1145-1,)</f>
        <v>46556</v>
      </c>
      <c r="H1146" s="64">
        <v>10</v>
      </c>
      <c r="I1146" s="130"/>
    </row>
    <row r="1147" spans="1:9">
      <c r="A1147" s="106" t="s">
        <v>126</v>
      </c>
      <c r="B1147" s="107" t="s">
        <v>117</v>
      </c>
      <c r="C1147" s="108"/>
      <c r="D1147" s="64" t="s">
        <v>72</v>
      </c>
      <c r="E1147" s="64"/>
      <c r="F1147" s="65">
        <f>WORKDAY(G1144,1)</f>
        <v>46545</v>
      </c>
      <c r="G1147" s="65">
        <f t="shared" si="150"/>
        <v>46556</v>
      </c>
      <c r="H1147" s="64">
        <v>10</v>
      </c>
      <c r="I1147" s="130"/>
    </row>
    <row r="1148" spans="1:9">
      <c r="A1148" s="106" t="s">
        <v>126</v>
      </c>
      <c r="B1148" s="107" t="s">
        <v>117</v>
      </c>
      <c r="C1148" s="108"/>
      <c r="D1148" s="64" t="s">
        <v>73</v>
      </c>
      <c r="E1148" s="64"/>
      <c r="F1148" s="65">
        <f>WORKDAY(G1144,1)</f>
        <v>46545</v>
      </c>
      <c r="G1148" s="65">
        <f t="shared" si="150"/>
        <v>46556</v>
      </c>
      <c r="H1148" s="64">
        <v>10</v>
      </c>
      <c r="I1148" s="130"/>
    </row>
    <row r="1149" spans="1:9">
      <c r="A1149" s="107" t="s">
        <v>126</v>
      </c>
      <c r="B1149" s="107" t="s">
        <v>117</v>
      </c>
      <c r="C1149" s="108"/>
      <c r="D1149" s="64" t="s">
        <v>74</v>
      </c>
      <c r="E1149" s="64"/>
      <c r="F1149" s="65">
        <f>WORKDAY(G1144,1)</f>
        <v>46545</v>
      </c>
      <c r="G1149" s="66">
        <f>WORKDAY(F1149,H1149-1,)</f>
        <v>46556</v>
      </c>
      <c r="H1149" s="64">
        <v>10</v>
      </c>
      <c r="I1149" s="64">
        <v>6</v>
      </c>
    </row>
    <row r="1150" spans="1:9">
      <c r="A1150" s="107" t="s">
        <v>126</v>
      </c>
      <c r="B1150" s="107" t="s">
        <v>117</v>
      </c>
      <c r="C1150" s="108"/>
      <c r="D1150" s="64" t="s">
        <v>77</v>
      </c>
      <c r="E1150" s="64"/>
      <c r="F1150" s="65">
        <f>WORKDAY(G1144,1)</f>
        <v>46545</v>
      </c>
      <c r="G1150" s="66">
        <f t="shared" ref="G1150:G1172" si="151">WORKDAY(F1150,H1150-1,)</f>
        <v>46556</v>
      </c>
      <c r="H1150" s="64">
        <v>10</v>
      </c>
      <c r="I1150" s="64">
        <v>1</v>
      </c>
    </row>
    <row r="1151" spans="1:9">
      <c r="A1151" s="107" t="s">
        <v>126</v>
      </c>
      <c r="B1151" s="107" t="s">
        <v>117</v>
      </c>
      <c r="C1151" s="108"/>
      <c r="D1151" s="64" t="s">
        <v>80</v>
      </c>
      <c r="E1151" s="64"/>
      <c r="F1151" s="65">
        <f>WORKDAY(G1144,1)</f>
        <v>46545</v>
      </c>
      <c r="G1151" s="66">
        <f t="shared" si="151"/>
        <v>46556</v>
      </c>
      <c r="H1151" s="64">
        <v>10</v>
      </c>
      <c r="I1151" s="64">
        <v>0</v>
      </c>
    </row>
    <row r="1152" spans="1:9">
      <c r="A1152" s="107" t="s">
        <v>126</v>
      </c>
      <c r="B1152" s="107" t="s">
        <v>117</v>
      </c>
      <c r="C1152" s="108"/>
      <c r="D1152" s="64" t="s">
        <v>81</v>
      </c>
      <c r="E1152" s="64"/>
      <c r="F1152" s="65">
        <f>WORKDAY(G1144,1)</f>
        <v>46545</v>
      </c>
      <c r="G1152" s="66">
        <f t="shared" si="151"/>
        <v>46556</v>
      </c>
      <c r="H1152" s="64">
        <v>10</v>
      </c>
      <c r="I1152" s="64">
        <v>4</v>
      </c>
    </row>
    <row r="1153" spans="1:9">
      <c r="A1153" s="70" t="s">
        <v>126</v>
      </c>
      <c r="B1153" s="70" t="s">
        <v>117</v>
      </c>
      <c r="C1153" s="69"/>
      <c r="D1153" s="70" t="s">
        <v>82</v>
      </c>
      <c r="E1153" s="70"/>
      <c r="F1153" s="71">
        <f t="shared" ref="F1153" si="152">WORKDAY(G1152,1)</f>
        <v>46559</v>
      </c>
      <c r="G1153" s="71">
        <f t="shared" si="151"/>
        <v>46570</v>
      </c>
      <c r="H1153" s="70">
        <v>10</v>
      </c>
      <c r="I1153" s="70">
        <v>4</v>
      </c>
    </row>
    <row r="1154" spans="1:9">
      <c r="A1154" s="77" t="s">
        <v>126</v>
      </c>
      <c r="B1154" s="77" t="s">
        <v>117</v>
      </c>
      <c r="C1154" s="98"/>
      <c r="D1154" s="75" t="s">
        <v>85</v>
      </c>
      <c r="E1154" s="75"/>
      <c r="F1154" s="76">
        <f>WORKDAY(G1153,-1)</f>
        <v>46569</v>
      </c>
      <c r="G1154" s="44">
        <f t="shared" si="151"/>
        <v>46573</v>
      </c>
      <c r="H1154" s="75">
        <v>3</v>
      </c>
      <c r="I1154" s="75">
        <v>12</v>
      </c>
    </row>
    <row r="1155" spans="1:9">
      <c r="A1155" s="77" t="s">
        <v>126</v>
      </c>
      <c r="B1155" s="77" t="s">
        <v>117</v>
      </c>
      <c r="C1155" s="98"/>
      <c r="D1155" s="75" t="s">
        <v>86</v>
      </c>
      <c r="E1155" s="75"/>
      <c r="F1155" s="76">
        <f>WORKDAY(G1153,1)</f>
        <v>46573</v>
      </c>
      <c r="G1155" s="44">
        <f t="shared" si="151"/>
        <v>46584</v>
      </c>
      <c r="H1155" s="75">
        <v>10</v>
      </c>
      <c r="I1155" s="75">
        <v>0</v>
      </c>
    </row>
    <row r="1156" spans="1:9">
      <c r="A1156" s="78" t="s">
        <v>126</v>
      </c>
      <c r="B1156" s="78" t="s">
        <v>117</v>
      </c>
      <c r="C1156" s="109"/>
      <c r="D1156" s="79" t="s">
        <v>87</v>
      </c>
      <c r="E1156" s="79"/>
      <c r="F1156" s="81">
        <f>WORKDAY(F1154,4)</f>
        <v>46575</v>
      </c>
      <c r="G1156" s="82">
        <f t="shared" si="151"/>
        <v>46588</v>
      </c>
      <c r="H1156" s="79">
        <v>10</v>
      </c>
      <c r="I1156" s="79">
        <v>4</v>
      </c>
    </row>
    <row r="1157" spans="1:9">
      <c r="A1157" s="83" t="s">
        <v>126</v>
      </c>
      <c r="B1157" s="83" t="s">
        <v>117</v>
      </c>
      <c r="C1157" s="84"/>
      <c r="D1157" s="83" t="s">
        <v>89</v>
      </c>
      <c r="E1157" s="83"/>
      <c r="F1157" s="85">
        <f>WORKDAY(F1156,3)</f>
        <v>46580</v>
      </c>
      <c r="G1157" s="85">
        <f t="shared" si="151"/>
        <v>46591</v>
      </c>
      <c r="H1157" s="83">
        <v>10</v>
      </c>
      <c r="I1157" s="127">
        <v>1</v>
      </c>
    </row>
    <row r="1158" spans="1:9">
      <c r="A1158" s="83" t="s">
        <v>126</v>
      </c>
      <c r="B1158" s="83" t="s">
        <v>117</v>
      </c>
      <c r="C1158" s="84"/>
      <c r="D1158" s="83" t="s">
        <v>91</v>
      </c>
      <c r="E1158" s="83"/>
      <c r="F1158" s="85">
        <f>WORKDAY(F1156,3)</f>
        <v>46580</v>
      </c>
      <c r="G1158" s="85">
        <f t="shared" si="151"/>
        <v>46591</v>
      </c>
      <c r="H1158" s="83">
        <v>10</v>
      </c>
      <c r="I1158" s="127"/>
    </row>
    <row r="1159" spans="1:9">
      <c r="A1159" s="83" t="s">
        <v>126</v>
      </c>
      <c r="B1159" s="83" t="s">
        <v>117</v>
      </c>
      <c r="C1159" s="84"/>
      <c r="D1159" s="83" t="s">
        <v>92</v>
      </c>
      <c r="E1159" s="83"/>
      <c r="F1159" s="85">
        <f>WORKDAY(F1156,3)</f>
        <v>46580</v>
      </c>
      <c r="G1159" s="85">
        <f t="shared" si="151"/>
        <v>46591</v>
      </c>
      <c r="H1159" s="83">
        <v>10</v>
      </c>
      <c r="I1159" s="127"/>
    </row>
    <row r="1160" spans="1:9">
      <c r="A1160" s="83" t="s">
        <v>126</v>
      </c>
      <c r="B1160" s="83" t="s">
        <v>117</v>
      </c>
      <c r="C1160" s="84"/>
      <c r="D1160" s="83" t="s">
        <v>93</v>
      </c>
      <c r="E1160" s="83"/>
      <c r="F1160" s="85">
        <f>WORKDAY(F1156,3)</f>
        <v>46580</v>
      </c>
      <c r="G1160" s="85">
        <f t="shared" si="151"/>
        <v>46591</v>
      </c>
      <c r="H1160" s="83">
        <v>10</v>
      </c>
      <c r="I1160" s="127"/>
    </row>
    <row r="1161" spans="1:9">
      <c r="A1161" s="83" t="s">
        <v>126</v>
      </c>
      <c r="B1161" s="83" t="s">
        <v>117</v>
      </c>
      <c r="C1161" s="84"/>
      <c r="D1161" s="83" t="s">
        <v>94</v>
      </c>
      <c r="E1161" s="83"/>
      <c r="F1161" s="85">
        <f>WORKDAY(F1156,3)</f>
        <v>46580</v>
      </c>
      <c r="G1161" s="85">
        <f t="shared" si="151"/>
        <v>46591</v>
      </c>
      <c r="H1161" s="83">
        <v>10</v>
      </c>
      <c r="I1161" s="83">
        <v>1</v>
      </c>
    </row>
    <row r="1162" spans="1:9">
      <c r="A1162" s="86" t="s">
        <v>126</v>
      </c>
      <c r="B1162" s="86" t="s">
        <v>117</v>
      </c>
      <c r="C1162" s="87"/>
      <c r="D1162" s="86" t="s">
        <v>95</v>
      </c>
      <c r="E1162" s="86"/>
      <c r="F1162" s="88">
        <f>WORKDAY(F1161,3)</f>
        <v>46583</v>
      </c>
      <c r="G1162" s="88">
        <f t="shared" si="151"/>
        <v>46591</v>
      </c>
      <c r="H1162" s="86">
        <v>7</v>
      </c>
      <c r="I1162" s="86">
        <v>0</v>
      </c>
    </row>
    <row r="1163" spans="1:9">
      <c r="A1163" s="89" t="s">
        <v>126</v>
      </c>
      <c r="B1163" s="89" t="s">
        <v>117</v>
      </c>
      <c r="C1163" s="90"/>
      <c r="D1163" s="89" t="s">
        <v>96</v>
      </c>
      <c r="E1163" s="89"/>
      <c r="F1163" s="91">
        <f>WORKDAY(F1162,2)</f>
        <v>46587</v>
      </c>
      <c r="G1163" s="91">
        <f t="shared" si="151"/>
        <v>46598</v>
      </c>
      <c r="H1163" s="89">
        <v>10</v>
      </c>
      <c r="I1163" s="89">
        <v>2</v>
      </c>
    </row>
    <row r="1164" spans="1:9">
      <c r="A1164" s="89" t="s">
        <v>126</v>
      </c>
      <c r="B1164" s="89" t="s">
        <v>117</v>
      </c>
      <c r="C1164" s="90"/>
      <c r="D1164" s="89" t="s">
        <v>98</v>
      </c>
      <c r="E1164" s="89"/>
      <c r="F1164" s="91">
        <f>WORKDAY(F1162,2)</f>
        <v>46587</v>
      </c>
      <c r="G1164" s="91">
        <f t="shared" si="151"/>
        <v>46598</v>
      </c>
      <c r="H1164" s="89">
        <v>10</v>
      </c>
      <c r="I1164" s="89">
        <v>9</v>
      </c>
    </row>
    <row r="1165" spans="1:9">
      <c r="A1165" s="89" t="s">
        <v>126</v>
      </c>
      <c r="B1165" s="89" t="s">
        <v>117</v>
      </c>
      <c r="C1165" s="90"/>
      <c r="D1165" s="89" t="s">
        <v>101</v>
      </c>
      <c r="E1165" s="89"/>
      <c r="F1165" s="91">
        <f>WORKDAY(F1162,2)</f>
        <v>46587</v>
      </c>
      <c r="G1165" s="91">
        <f t="shared" si="151"/>
        <v>46598</v>
      </c>
      <c r="H1165" s="89">
        <v>10</v>
      </c>
      <c r="I1165" s="89">
        <v>0</v>
      </c>
    </row>
    <row r="1166" spans="1:9">
      <c r="A1166" s="38" t="s">
        <v>126</v>
      </c>
      <c r="B1166" s="38" t="s">
        <v>117</v>
      </c>
      <c r="C1166" s="92"/>
      <c r="D1166" s="38" t="s">
        <v>103</v>
      </c>
      <c r="E1166" s="38"/>
      <c r="F1166" s="93">
        <f>WORKDAY(G1164,-4)</f>
        <v>46594</v>
      </c>
      <c r="G1166" s="93">
        <f t="shared" si="151"/>
        <v>46596</v>
      </c>
      <c r="H1166" s="38">
        <v>3</v>
      </c>
      <c r="I1166" s="38">
        <v>0</v>
      </c>
    </row>
    <row r="1167" spans="1:9">
      <c r="A1167" s="38" t="s">
        <v>126</v>
      </c>
      <c r="B1167" s="38" t="s">
        <v>117</v>
      </c>
      <c r="C1167" s="92"/>
      <c r="D1167" s="38" t="s">
        <v>106</v>
      </c>
      <c r="E1167" s="38"/>
      <c r="F1167" s="93">
        <f>WORKDAY(G1164,-4)</f>
        <v>46594</v>
      </c>
      <c r="G1167" s="93">
        <f t="shared" si="151"/>
        <v>46605</v>
      </c>
      <c r="H1167" s="38">
        <v>10</v>
      </c>
      <c r="I1167" s="38">
        <v>10</v>
      </c>
    </row>
    <row r="1168" spans="1:9">
      <c r="A1168" s="38" t="s">
        <v>126</v>
      </c>
      <c r="B1168" s="38" t="s">
        <v>117</v>
      </c>
      <c r="C1168" s="92"/>
      <c r="D1168" s="38" t="s">
        <v>108</v>
      </c>
      <c r="E1168" s="38"/>
      <c r="F1168" s="93">
        <f>WORKDAY(G1164,-4)</f>
        <v>46594</v>
      </c>
      <c r="G1168" s="93">
        <f t="shared" si="151"/>
        <v>46605</v>
      </c>
      <c r="H1168" s="38">
        <v>10</v>
      </c>
      <c r="I1168" s="38">
        <v>6</v>
      </c>
    </row>
    <row r="1169" spans="1:9">
      <c r="A1169" s="94" t="s">
        <v>126</v>
      </c>
      <c r="B1169" s="94" t="s">
        <v>117</v>
      </c>
      <c r="C1169" s="95"/>
      <c r="D1169" s="96" t="s">
        <v>109</v>
      </c>
      <c r="E1169" s="96"/>
      <c r="F1169" s="97">
        <f>WORKDAY(G1164,1)</f>
        <v>46601</v>
      </c>
      <c r="G1169" s="97">
        <f t="shared" si="151"/>
        <v>46612</v>
      </c>
      <c r="H1169" s="94">
        <v>10</v>
      </c>
      <c r="I1169" s="94">
        <v>0</v>
      </c>
    </row>
    <row r="1170" spans="1:9">
      <c r="A1170" s="94" t="s">
        <v>126</v>
      </c>
      <c r="B1170" s="94" t="s">
        <v>117</v>
      </c>
      <c r="C1170" s="95"/>
      <c r="D1170" s="96" t="s">
        <v>112</v>
      </c>
      <c r="E1170" s="96"/>
      <c r="F1170" s="97">
        <f>WORKDAY(G1164,1)</f>
        <v>46601</v>
      </c>
      <c r="G1170" s="97">
        <f t="shared" si="151"/>
        <v>46612</v>
      </c>
      <c r="H1170" s="94">
        <v>10</v>
      </c>
      <c r="I1170" s="94">
        <v>0</v>
      </c>
    </row>
    <row r="1171" spans="1:9">
      <c r="A1171" s="77" t="s">
        <v>126</v>
      </c>
      <c r="B1171" s="77" t="s">
        <v>117</v>
      </c>
      <c r="C1171" s="98"/>
      <c r="D1171" s="77" t="s">
        <v>113</v>
      </c>
      <c r="E1171" s="77"/>
      <c r="F1171" s="44">
        <f>WORKDAY(G1169,-4)</f>
        <v>46608</v>
      </c>
      <c r="G1171" s="44">
        <f t="shared" si="151"/>
        <v>46612</v>
      </c>
      <c r="H1171" s="77">
        <v>5</v>
      </c>
      <c r="I1171" s="77">
        <v>1</v>
      </c>
    </row>
    <row r="1172" spans="1:9">
      <c r="A1172" s="77" t="s">
        <v>126</v>
      </c>
      <c r="B1172" s="77" t="s">
        <v>117</v>
      </c>
      <c r="C1172" s="98"/>
      <c r="D1172" s="77" t="s">
        <v>116</v>
      </c>
      <c r="E1172" s="77"/>
      <c r="F1172" s="44">
        <f>WORKDAY(G1169,-4)</f>
        <v>46608</v>
      </c>
      <c r="G1172" s="44">
        <f t="shared" si="151"/>
        <v>46612</v>
      </c>
      <c r="H1172" s="77">
        <v>5</v>
      </c>
      <c r="I1172" s="77">
        <v>0</v>
      </c>
    </row>
    <row r="1173" spans="1:9">
      <c r="A1173" s="5" t="s">
        <v>126</v>
      </c>
      <c r="B1173" s="99" t="s">
        <v>118</v>
      </c>
      <c r="C1173" s="100"/>
      <c r="D1173" s="6" t="s">
        <v>11</v>
      </c>
      <c r="E1173" s="6"/>
      <c r="F1173" s="8">
        <f>WORKDAY(G1122,1)</f>
        <v>46454</v>
      </c>
      <c r="G1173" s="8">
        <f>WORKDAY(F1173,H1173-1,)</f>
        <v>46465</v>
      </c>
      <c r="H1173" s="6">
        <v>10</v>
      </c>
      <c r="I1173" s="6">
        <v>36</v>
      </c>
    </row>
    <row r="1174" spans="1:9">
      <c r="A1174" s="5" t="s">
        <v>126</v>
      </c>
      <c r="B1174" s="99" t="s">
        <v>118</v>
      </c>
      <c r="C1174" s="100"/>
      <c r="D1174" s="6" t="s">
        <v>13</v>
      </c>
      <c r="E1174" s="6"/>
      <c r="F1174" s="8">
        <f>WORKDAY(G1122,1)</f>
        <v>46454</v>
      </c>
      <c r="G1174" s="8">
        <f t="shared" ref="G1174" si="153">WORKDAY(F1174,H1174-1,)</f>
        <v>46465</v>
      </c>
      <c r="H1174" s="6">
        <v>10</v>
      </c>
      <c r="I1174" s="6">
        <v>1</v>
      </c>
    </row>
    <row r="1175" spans="1:9">
      <c r="A1175" s="5" t="s">
        <v>126</v>
      </c>
      <c r="B1175" s="99" t="s">
        <v>118</v>
      </c>
      <c r="C1175" s="100"/>
      <c r="D1175" s="6" t="s">
        <v>15</v>
      </c>
      <c r="E1175" s="6"/>
      <c r="F1175" s="8">
        <f>WORKDAY(G1122,1)</f>
        <v>46454</v>
      </c>
      <c r="G1175" s="8">
        <f>WORKDAY(F1175,H1175-1,)</f>
        <v>46465</v>
      </c>
      <c r="H1175" s="6">
        <v>10</v>
      </c>
      <c r="I1175" s="6">
        <v>1</v>
      </c>
    </row>
    <row r="1176" spans="1:9">
      <c r="A1176" s="11" t="s">
        <v>126</v>
      </c>
      <c r="B1176" s="101" t="s">
        <v>118</v>
      </c>
      <c r="C1176" s="102"/>
      <c r="D1176" s="11" t="s">
        <v>16</v>
      </c>
      <c r="E1176" s="11"/>
      <c r="F1176" s="12">
        <f>WORKDAY(G1175,-4)</f>
        <v>46461</v>
      </c>
      <c r="G1176" s="12">
        <f t="shared" ref="G1176:G1183" si="154">WORKDAY(F1176,H1176-1,)</f>
        <v>46472</v>
      </c>
      <c r="H1176" s="11">
        <v>10</v>
      </c>
      <c r="I1176" s="11">
        <v>5</v>
      </c>
    </row>
    <row r="1177" spans="1:9">
      <c r="A1177" s="11" t="s">
        <v>126</v>
      </c>
      <c r="B1177" s="101" t="s">
        <v>118</v>
      </c>
      <c r="C1177" s="102"/>
      <c r="D1177" s="11" t="s">
        <v>18</v>
      </c>
      <c r="E1177" s="11"/>
      <c r="F1177" s="12">
        <f>WORKDAY(G1175,-4)</f>
        <v>46461</v>
      </c>
      <c r="G1177" s="12">
        <f t="shared" si="154"/>
        <v>46472</v>
      </c>
      <c r="H1177" s="11">
        <v>10</v>
      </c>
      <c r="I1177" s="13">
        <v>4</v>
      </c>
    </row>
    <row r="1178" spans="1:9">
      <c r="A1178" s="11" t="s">
        <v>126</v>
      </c>
      <c r="B1178" s="101" t="s">
        <v>118</v>
      </c>
      <c r="C1178" s="102"/>
      <c r="D1178" s="11" t="s">
        <v>21</v>
      </c>
      <c r="E1178" s="11"/>
      <c r="F1178" s="12">
        <f>WORKDAY(G1175,-4)</f>
        <v>46461</v>
      </c>
      <c r="G1178" s="12">
        <f t="shared" si="154"/>
        <v>46472</v>
      </c>
      <c r="H1178" s="11">
        <v>10</v>
      </c>
      <c r="I1178" s="11">
        <v>3</v>
      </c>
    </row>
    <row r="1179" spans="1:9">
      <c r="A1179" s="11" t="s">
        <v>126</v>
      </c>
      <c r="B1179" s="101" t="s">
        <v>118</v>
      </c>
      <c r="C1179" s="102"/>
      <c r="D1179" s="11" t="s">
        <v>24</v>
      </c>
      <c r="E1179" s="11"/>
      <c r="F1179" s="12">
        <f>WORKDAY(G1175,-4)</f>
        <v>46461</v>
      </c>
      <c r="G1179" s="12">
        <f t="shared" si="154"/>
        <v>46472</v>
      </c>
      <c r="H1179" s="11">
        <v>10</v>
      </c>
      <c r="I1179" s="11">
        <v>0</v>
      </c>
    </row>
    <row r="1180" spans="1:9">
      <c r="A1180" s="17" t="s">
        <v>126</v>
      </c>
      <c r="B1180" s="103" t="s">
        <v>118</v>
      </c>
      <c r="C1180" s="104"/>
      <c r="D1180" s="17" t="s">
        <v>26</v>
      </c>
      <c r="E1180" s="17"/>
      <c r="F1180" s="18">
        <f>WORKDAY(G1179,-4)</f>
        <v>46468</v>
      </c>
      <c r="G1180" s="18">
        <f t="shared" si="154"/>
        <v>46479</v>
      </c>
      <c r="H1180" s="17">
        <v>10</v>
      </c>
      <c r="I1180" s="17">
        <v>2</v>
      </c>
    </row>
    <row r="1181" spans="1:9">
      <c r="A1181" s="21" t="s">
        <v>126</v>
      </c>
      <c r="B1181" s="21" t="s">
        <v>118</v>
      </c>
      <c r="C1181" s="20"/>
      <c r="D1181" s="21" t="s">
        <v>29</v>
      </c>
      <c r="E1181" s="21"/>
      <c r="F1181" s="22">
        <f>WORKDAY(F1180,5)</f>
        <v>46475</v>
      </c>
      <c r="G1181" s="22">
        <f t="shared" si="154"/>
        <v>46479</v>
      </c>
      <c r="H1181" s="21">
        <v>5</v>
      </c>
      <c r="I1181" s="21">
        <v>4</v>
      </c>
    </row>
    <row r="1182" spans="1:9">
      <c r="A1182" s="21" t="s">
        <v>126</v>
      </c>
      <c r="B1182" s="21" t="s">
        <v>118</v>
      </c>
      <c r="C1182" s="20"/>
      <c r="D1182" s="21" t="s">
        <v>32</v>
      </c>
      <c r="E1182" s="21"/>
      <c r="F1182" s="22">
        <f>WORKDAY(G1180,1)</f>
        <v>46482</v>
      </c>
      <c r="G1182" s="22">
        <f t="shared" si="154"/>
        <v>46486</v>
      </c>
      <c r="H1182" s="21">
        <v>5</v>
      </c>
      <c r="I1182" s="21">
        <v>1</v>
      </c>
    </row>
    <row r="1183" spans="1:9">
      <c r="A1183" s="21" t="s">
        <v>126</v>
      </c>
      <c r="B1183" s="21" t="s">
        <v>118</v>
      </c>
      <c r="C1183" s="20"/>
      <c r="D1183" s="21" t="s">
        <v>34</v>
      </c>
      <c r="E1183" s="21"/>
      <c r="F1183" s="22">
        <f>WORKDAY(G1177,1)</f>
        <v>46475</v>
      </c>
      <c r="G1183" s="22">
        <f t="shared" si="154"/>
        <v>46486</v>
      </c>
      <c r="H1183" s="21">
        <v>10</v>
      </c>
      <c r="I1183" s="21">
        <v>3</v>
      </c>
    </row>
    <row r="1184" spans="1:9">
      <c r="A1184" s="31" t="s">
        <v>126</v>
      </c>
      <c r="B1184" s="31" t="s">
        <v>118</v>
      </c>
      <c r="C1184" s="30"/>
      <c r="D1184" s="31" t="s">
        <v>37</v>
      </c>
      <c r="E1184" s="31"/>
      <c r="F1184" s="32">
        <f>WORKDAY(G1183,1)</f>
        <v>46489</v>
      </c>
      <c r="G1184" s="32">
        <f>WORKDAY(F1184,H1184-1,)</f>
        <v>46500</v>
      </c>
      <c r="H1184" s="31">
        <v>10</v>
      </c>
      <c r="I1184" s="128">
        <v>5</v>
      </c>
    </row>
    <row r="1185" spans="1:9">
      <c r="A1185" s="31" t="s">
        <v>126</v>
      </c>
      <c r="B1185" s="31" t="s">
        <v>118</v>
      </c>
      <c r="C1185" s="30"/>
      <c r="D1185" s="31" t="s">
        <v>40</v>
      </c>
      <c r="E1185" s="31"/>
      <c r="F1185" s="32">
        <f>WORKDAY(G1183,1)</f>
        <v>46489</v>
      </c>
      <c r="G1185" s="32">
        <f t="shared" ref="G1185:G1197" si="155">WORKDAY(F1185,H1185-1,)</f>
        <v>46500</v>
      </c>
      <c r="H1185" s="31">
        <v>10</v>
      </c>
      <c r="I1185" s="128"/>
    </row>
    <row r="1186" spans="1:9">
      <c r="A1186" s="31" t="s">
        <v>126</v>
      </c>
      <c r="B1186" s="31" t="s">
        <v>118</v>
      </c>
      <c r="C1186" s="30"/>
      <c r="D1186" s="31" t="s">
        <v>42</v>
      </c>
      <c r="E1186" s="31"/>
      <c r="F1186" s="32">
        <f>WORKDAY(G1183,1)</f>
        <v>46489</v>
      </c>
      <c r="G1186" s="32">
        <f t="shared" si="155"/>
        <v>46500</v>
      </c>
      <c r="H1186" s="31">
        <v>10</v>
      </c>
      <c r="I1186" s="128"/>
    </row>
    <row r="1187" spans="1:9">
      <c r="A1187" s="31" t="s">
        <v>126</v>
      </c>
      <c r="B1187" s="31" t="s">
        <v>118</v>
      </c>
      <c r="C1187" s="30"/>
      <c r="D1187" s="31" t="s">
        <v>44</v>
      </c>
      <c r="E1187" s="31"/>
      <c r="F1187" s="32">
        <f>WORKDAY(G1183,1)</f>
        <v>46489</v>
      </c>
      <c r="G1187" s="32">
        <f t="shared" si="155"/>
        <v>46500</v>
      </c>
      <c r="H1187" s="31">
        <v>10</v>
      </c>
      <c r="I1187" s="128"/>
    </row>
    <row r="1188" spans="1:9">
      <c r="A1188" s="31" t="s">
        <v>126</v>
      </c>
      <c r="B1188" s="31" t="s">
        <v>118</v>
      </c>
      <c r="C1188" s="30"/>
      <c r="D1188" s="31" t="s">
        <v>45</v>
      </c>
      <c r="E1188" s="31"/>
      <c r="F1188" s="32">
        <f>WORKDAY(G1183,1)</f>
        <v>46489</v>
      </c>
      <c r="G1188" s="32">
        <f t="shared" si="155"/>
        <v>46500</v>
      </c>
      <c r="H1188" s="31">
        <v>10</v>
      </c>
      <c r="I1188" s="31">
        <v>5</v>
      </c>
    </row>
    <row r="1189" spans="1:9">
      <c r="A1189" s="25" t="s">
        <v>126</v>
      </c>
      <c r="B1189" s="25" t="s">
        <v>118</v>
      </c>
      <c r="C1189" s="105"/>
      <c r="D1189" s="26" t="s">
        <v>47</v>
      </c>
      <c r="E1189" s="26"/>
      <c r="F1189" s="27">
        <f>WORKDAY(G1188,-4)</f>
        <v>46496</v>
      </c>
      <c r="G1189" s="28">
        <f t="shared" si="155"/>
        <v>46507</v>
      </c>
      <c r="H1189" s="26">
        <v>10</v>
      </c>
      <c r="I1189" s="26">
        <v>11</v>
      </c>
    </row>
    <row r="1190" spans="1:9">
      <c r="A1190" s="77" t="s">
        <v>126</v>
      </c>
      <c r="B1190" s="77" t="s">
        <v>118</v>
      </c>
      <c r="C1190" s="98"/>
      <c r="D1190" s="42" t="s">
        <v>50</v>
      </c>
      <c r="E1190" s="42"/>
      <c r="F1190" s="43">
        <f>WORKDAY(G1188,1)</f>
        <v>46503</v>
      </c>
      <c r="G1190" s="44">
        <f t="shared" si="155"/>
        <v>46503</v>
      </c>
      <c r="H1190" s="42">
        <v>1</v>
      </c>
      <c r="I1190" s="42">
        <v>0</v>
      </c>
    </row>
    <row r="1191" spans="1:9">
      <c r="A1191" s="21" t="s">
        <v>126</v>
      </c>
      <c r="B1191" s="21" t="s">
        <v>118</v>
      </c>
      <c r="C1191" s="20"/>
      <c r="D1191" s="47" t="s">
        <v>52</v>
      </c>
      <c r="E1191" s="47"/>
      <c r="F1191" s="48">
        <f>WORKDAY(G1189,1)</f>
        <v>46510</v>
      </c>
      <c r="G1191" s="22">
        <f t="shared" si="155"/>
        <v>46521</v>
      </c>
      <c r="H1191" s="47">
        <v>10</v>
      </c>
      <c r="I1191" s="47">
        <v>5</v>
      </c>
    </row>
    <row r="1192" spans="1:9">
      <c r="A1192" s="21" t="s">
        <v>126</v>
      </c>
      <c r="B1192" s="21" t="s">
        <v>118</v>
      </c>
      <c r="C1192" s="20"/>
      <c r="D1192" s="49" t="s">
        <v>55</v>
      </c>
      <c r="E1192" s="49"/>
      <c r="F1192" s="48">
        <f>WORKDAY(G1189,1)</f>
        <v>46510</v>
      </c>
      <c r="G1192" s="22">
        <f t="shared" si="155"/>
        <v>46521</v>
      </c>
      <c r="H1192" s="47">
        <v>10</v>
      </c>
      <c r="I1192" s="47">
        <v>0</v>
      </c>
    </row>
    <row r="1193" spans="1:9">
      <c r="A1193" s="52" t="s">
        <v>126</v>
      </c>
      <c r="B1193" s="110" t="s">
        <v>118</v>
      </c>
      <c r="C1193" s="111"/>
      <c r="D1193" s="52" t="s">
        <v>56</v>
      </c>
      <c r="E1193" s="52"/>
      <c r="F1193" s="53">
        <f t="shared" ref="F1193" si="156">WORKDAY(G1192,1)</f>
        <v>46524</v>
      </c>
      <c r="G1193" s="53">
        <f t="shared" si="155"/>
        <v>46535</v>
      </c>
      <c r="H1193" s="52">
        <v>10</v>
      </c>
      <c r="I1193" s="52">
        <v>7</v>
      </c>
    </row>
    <row r="1194" spans="1:9">
      <c r="A1194" s="52" t="s">
        <v>126</v>
      </c>
      <c r="B1194" s="110" t="s">
        <v>118</v>
      </c>
      <c r="C1194" s="111"/>
      <c r="D1194" s="52" t="s">
        <v>59</v>
      </c>
      <c r="E1194" s="52"/>
      <c r="F1194" s="53">
        <f>WORKDAY(G1192,1)</f>
        <v>46524</v>
      </c>
      <c r="G1194" s="53">
        <f t="shared" si="155"/>
        <v>46524</v>
      </c>
      <c r="H1194" s="52">
        <v>1</v>
      </c>
      <c r="I1194" s="52">
        <v>5</v>
      </c>
    </row>
    <row r="1195" spans="1:9">
      <c r="A1195" s="124" t="s">
        <v>126</v>
      </c>
      <c r="B1195" s="112" t="s">
        <v>118</v>
      </c>
      <c r="C1195" s="113"/>
      <c r="D1195" s="56" t="s">
        <v>62</v>
      </c>
      <c r="E1195" s="56"/>
      <c r="F1195" s="57">
        <f>WORKDAY(G1193,-4)</f>
        <v>46531</v>
      </c>
      <c r="G1195" s="57">
        <f t="shared" si="155"/>
        <v>46542</v>
      </c>
      <c r="H1195" s="56">
        <v>10</v>
      </c>
      <c r="I1195" s="56">
        <v>10</v>
      </c>
    </row>
    <row r="1196" spans="1:9">
      <c r="A1196" s="124" t="s">
        <v>126</v>
      </c>
      <c r="B1196" s="112" t="s">
        <v>118</v>
      </c>
      <c r="C1196" s="113"/>
      <c r="D1196" s="56" t="s">
        <v>64</v>
      </c>
      <c r="E1196" s="56"/>
      <c r="F1196" s="57">
        <f>WORKDAY(F1195,1)</f>
        <v>46532</v>
      </c>
      <c r="G1196" s="57">
        <f t="shared" si="155"/>
        <v>46542</v>
      </c>
      <c r="H1196" s="56">
        <v>9</v>
      </c>
      <c r="I1196" s="56">
        <v>0</v>
      </c>
    </row>
    <row r="1197" spans="1:9">
      <c r="A1197" s="31" t="s">
        <v>126</v>
      </c>
      <c r="B1197" s="31" t="s">
        <v>118</v>
      </c>
      <c r="C1197" s="30"/>
      <c r="D1197" s="58" t="s">
        <v>65</v>
      </c>
      <c r="E1197" s="58"/>
      <c r="F1197" s="59">
        <f>WORKDAY(G1195,1)</f>
        <v>46545</v>
      </c>
      <c r="G1197" s="32">
        <f t="shared" si="155"/>
        <v>46556</v>
      </c>
      <c r="H1197" s="58">
        <v>10</v>
      </c>
      <c r="I1197" s="58">
        <v>4</v>
      </c>
    </row>
    <row r="1198" spans="1:9">
      <c r="A1198" s="106" t="s">
        <v>126</v>
      </c>
      <c r="B1198" s="107" t="s">
        <v>118</v>
      </c>
      <c r="C1198" s="108"/>
      <c r="D1198" s="64" t="s">
        <v>68</v>
      </c>
      <c r="E1198" s="64"/>
      <c r="F1198" s="65">
        <f>WORKDAY(G1197,1)</f>
        <v>46559</v>
      </c>
      <c r="G1198" s="65">
        <f>WORKDAY(F1198,H1198-1,)</f>
        <v>46570</v>
      </c>
      <c r="H1198" s="64">
        <v>10</v>
      </c>
      <c r="I1198" s="130">
        <v>4</v>
      </c>
    </row>
    <row r="1199" spans="1:9">
      <c r="A1199" s="106" t="s">
        <v>126</v>
      </c>
      <c r="B1199" s="107" t="s">
        <v>118</v>
      </c>
      <c r="C1199" s="108"/>
      <c r="D1199" s="64" t="s">
        <v>71</v>
      </c>
      <c r="E1199" s="64"/>
      <c r="F1199" s="65">
        <f>WORKDAY(G1197,1)</f>
        <v>46559</v>
      </c>
      <c r="G1199" s="65">
        <f t="shared" ref="G1199:G1201" si="157">WORKDAY(F1198,H1198-1,)</f>
        <v>46570</v>
      </c>
      <c r="H1199" s="64">
        <v>10</v>
      </c>
      <c r="I1199" s="130"/>
    </row>
    <row r="1200" spans="1:9">
      <c r="A1200" s="106" t="s">
        <v>126</v>
      </c>
      <c r="B1200" s="107" t="s">
        <v>118</v>
      </c>
      <c r="C1200" s="108"/>
      <c r="D1200" s="64" t="s">
        <v>72</v>
      </c>
      <c r="E1200" s="64"/>
      <c r="F1200" s="65">
        <f>WORKDAY(G1197,1)</f>
        <v>46559</v>
      </c>
      <c r="G1200" s="65">
        <f t="shared" si="157"/>
        <v>46570</v>
      </c>
      <c r="H1200" s="64">
        <v>10</v>
      </c>
      <c r="I1200" s="130"/>
    </row>
    <row r="1201" spans="1:9">
      <c r="A1201" s="106" t="s">
        <v>126</v>
      </c>
      <c r="B1201" s="107" t="s">
        <v>118</v>
      </c>
      <c r="C1201" s="108"/>
      <c r="D1201" s="64" t="s">
        <v>73</v>
      </c>
      <c r="E1201" s="64"/>
      <c r="F1201" s="65">
        <f>WORKDAY(G1197,1)</f>
        <v>46559</v>
      </c>
      <c r="G1201" s="65">
        <f t="shared" si="157"/>
        <v>46570</v>
      </c>
      <c r="H1201" s="64">
        <v>10</v>
      </c>
      <c r="I1201" s="130"/>
    </row>
    <row r="1202" spans="1:9">
      <c r="A1202" s="107" t="s">
        <v>126</v>
      </c>
      <c r="B1202" s="107" t="s">
        <v>118</v>
      </c>
      <c r="C1202" s="108"/>
      <c r="D1202" s="64" t="s">
        <v>74</v>
      </c>
      <c r="E1202" s="64"/>
      <c r="F1202" s="65">
        <f>WORKDAY(G1197,1)</f>
        <v>46559</v>
      </c>
      <c r="G1202" s="66">
        <f>WORKDAY(F1202,H1202-1,)</f>
        <v>46570</v>
      </c>
      <c r="H1202" s="64">
        <v>10</v>
      </c>
      <c r="I1202" s="64">
        <v>6</v>
      </c>
    </row>
    <row r="1203" spans="1:9">
      <c r="A1203" s="107" t="s">
        <v>126</v>
      </c>
      <c r="B1203" s="107" t="s">
        <v>118</v>
      </c>
      <c r="C1203" s="108"/>
      <c r="D1203" s="64" t="s">
        <v>77</v>
      </c>
      <c r="E1203" s="64"/>
      <c r="F1203" s="65">
        <f>WORKDAY(G1197,1)</f>
        <v>46559</v>
      </c>
      <c r="G1203" s="66">
        <f t="shared" ref="G1203:G1225" si="158">WORKDAY(F1203,H1203-1,)</f>
        <v>46570</v>
      </c>
      <c r="H1203" s="64">
        <v>10</v>
      </c>
      <c r="I1203" s="64">
        <v>1</v>
      </c>
    </row>
    <row r="1204" spans="1:9">
      <c r="A1204" s="107" t="s">
        <v>126</v>
      </c>
      <c r="B1204" s="107" t="s">
        <v>118</v>
      </c>
      <c r="C1204" s="108"/>
      <c r="D1204" s="64" t="s">
        <v>80</v>
      </c>
      <c r="E1204" s="64"/>
      <c r="F1204" s="65">
        <f>WORKDAY(G1197,1)</f>
        <v>46559</v>
      </c>
      <c r="G1204" s="66">
        <f t="shared" si="158"/>
        <v>46570</v>
      </c>
      <c r="H1204" s="64">
        <v>10</v>
      </c>
      <c r="I1204" s="64">
        <v>0</v>
      </c>
    </row>
    <row r="1205" spans="1:9">
      <c r="A1205" s="107" t="s">
        <v>126</v>
      </c>
      <c r="B1205" s="107" t="s">
        <v>118</v>
      </c>
      <c r="C1205" s="108"/>
      <c r="D1205" s="64" t="s">
        <v>81</v>
      </c>
      <c r="E1205" s="64"/>
      <c r="F1205" s="65">
        <f>WORKDAY(G1197,1)</f>
        <v>46559</v>
      </c>
      <c r="G1205" s="66">
        <f t="shared" si="158"/>
        <v>46570</v>
      </c>
      <c r="H1205" s="64">
        <v>10</v>
      </c>
      <c r="I1205" s="64">
        <v>4</v>
      </c>
    </row>
    <row r="1206" spans="1:9">
      <c r="A1206" s="70" t="s">
        <v>126</v>
      </c>
      <c r="B1206" s="70" t="s">
        <v>118</v>
      </c>
      <c r="C1206" s="69"/>
      <c r="D1206" s="70" t="s">
        <v>82</v>
      </c>
      <c r="E1206" s="70"/>
      <c r="F1206" s="71">
        <f t="shared" ref="F1206" si="159">WORKDAY(G1205,1)</f>
        <v>46573</v>
      </c>
      <c r="G1206" s="71">
        <f t="shared" si="158"/>
        <v>46584</v>
      </c>
      <c r="H1206" s="70">
        <v>10</v>
      </c>
      <c r="I1206" s="70">
        <v>4</v>
      </c>
    </row>
    <row r="1207" spans="1:9">
      <c r="A1207" s="77" t="s">
        <v>126</v>
      </c>
      <c r="B1207" s="77" t="s">
        <v>118</v>
      </c>
      <c r="C1207" s="98"/>
      <c r="D1207" s="75" t="s">
        <v>85</v>
      </c>
      <c r="E1207" s="75"/>
      <c r="F1207" s="76">
        <f>WORKDAY(G1206,-1)</f>
        <v>46583</v>
      </c>
      <c r="G1207" s="44">
        <f t="shared" si="158"/>
        <v>46587</v>
      </c>
      <c r="H1207" s="75">
        <v>3</v>
      </c>
      <c r="I1207" s="75">
        <v>12</v>
      </c>
    </row>
    <row r="1208" spans="1:9">
      <c r="A1208" s="77" t="s">
        <v>126</v>
      </c>
      <c r="B1208" s="77" t="s">
        <v>118</v>
      </c>
      <c r="C1208" s="98"/>
      <c r="D1208" s="75" t="s">
        <v>86</v>
      </c>
      <c r="E1208" s="75"/>
      <c r="F1208" s="76">
        <f>WORKDAY(G1206,1)</f>
        <v>46587</v>
      </c>
      <c r="G1208" s="44">
        <f t="shared" si="158"/>
        <v>46598</v>
      </c>
      <c r="H1208" s="75">
        <v>10</v>
      </c>
      <c r="I1208" s="75">
        <v>0</v>
      </c>
    </row>
    <row r="1209" spans="1:9">
      <c r="A1209" s="78" t="s">
        <v>126</v>
      </c>
      <c r="B1209" s="78" t="s">
        <v>118</v>
      </c>
      <c r="C1209" s="109"/>
      <c r="D1209" s="79" t="s">
        <v>87</v>
      </c>
      <c r="E1209" s="79"/>
      <c r="F1209" s="81">
        <f>WORKDAY(F1207,4)</f>
        <v>46589</v>
      </c>
      <c r="G1209" s="82">
        <f t="shared" si="158"/>
        <v>46602</v>
      </c>
      <c r="H1209" s="79">
        <v>10</v>
      </c>
      <c r="I1209" s="79">
        <v>4</v>
      </c>
    </row>
    <row r="1210" spans="1:9">
      <c r="A1210" s="83" t="s">
        <v>126</v>
      </c>
      <c r="B1210" s="114" t="s">
        <v>118</v>
      </c>
      <c r="C1210" s="115"/>
      <c r="D1210" s="83" t="s">
        <v>89</v>
      </c>
      <c r="E1210" s="83"/>
      <c r="F1210" s="85">
        <f>WORKDAY(F1209,3)</f>
        <v>46594</v>
      </c>
      <c r="G1210" s="85">
        <f t="shared" si="158"/>
        <v>46605</v>
      </c>
      <c r="H1210" s="83">
        <v>10</v>
      </c>
      <c r="I1210" s="127">
        <v>1</v>
      </c>
    </row>
    <row r="1211" spans="1:9">
      <c r="A1211" s="83" t="s">
        <v>126</v>
      </c>
      <c r="B1211" s="114" t="s">
        <v>118</v>
      </c>
      <c r="C1211" s="115"/>
      <c r="D1211" s="83" t="s">
        <v>91</v>
      </c>
      <c r="E1211" s="83"/>
      <c r="F1211" s="85">
        <f>WORKDAY(F1209,3)</f>
        <v>46594</v>
      </c>
      <c r="G1211" s="85">
        <f t="shared" si="158"/>
        <v>46605</v>
      </c>
      <c r="H1211" s="83">
        <v>10</v>
      </c>
      <c r="I1211" s="127"/>
    </row>
    <row r="1212" spans="1:9">
      <c r="A1212" s="83" t="s">
        <v>126</v>
      </c>
      <c r="B1212" s="114" t="s">
        <v>118</v>
      </c>
      <c r="C1212" s="115"/>
      <c r="D1212" s="83" t="s">
        <v>92</v>
      </c>
      <c r="E1212" s="83"/>
      <c r="F1212" s="85">
        <f>WORKDAY(F1209,3)</f>
        <v>46594</v>
      </c>
      <c r="G1212" s="85">
        <f t="shared" si="158"/>
        <v>46605</v>
      </c>
      <c r="H1212" s="83">
        <v>10</v>
      </c>
      <c r="I1212" s="127"/>
    </row>
    <row r="1213" spans="1:9">
      <c r="A1213" s="83" t="s">
        <v>126</v>
      </c>
      <c r="B1213" s="114" t="s">
        <v>118</v>
      </c>
      <c r="C1213" s="115"/>
      <c r="D1213" s="83" t="s">
        <v>93</v>
      </c>
      <c r="E1213" s="83"/>
      <c r="F1213" s="85">
        <f>WORKDAY(F1209,3)</f>
        <v>46594</v>
      </c>
      <c r="G1213" s="85">
        <f t="shared" si="158"/>
        <v>46605</v>
      </c>
      <c r="H1213" s="83">
        <v>10</v>
      </c>
      <c r="I1213" s="127"/>
    </row>
    <row r="1214" spans="1:9">
      <c r="A1214" s="83" t="s">
        <v>126</v>
      </c>
      <c r="B1214" s="114" t="s">
        <v>118</v>
      </c>
      <c r="C1214" s="115"/>
      <c r="D1214" s="83" t="s">
        <v>94</v>
      </c>
      <c r="E1214" s="83"/>
      <c r="F1214" s="85">
        <f>WORKDAY(F1209,3)</f>
        <v>46594</v>
      </c>
      <c r="G1214" s="85">
        <f t="shared" si="158"/>
        <v>46605</v>
      </c>
      <c r="H1214" s="83">
        <v>10</v>
      </c>
      <c r="I1214" s="83">
        <v>1</v>
      </c>
    </row>
    <row r="1215" spans="1:9">
      <c r="A1215" s="86" t="s">
        <v>126</v>
      </c>
      <c r="B1215" s="116" t="s">
        <v>118</v>
      </c>
      <c r="C1215" s="117"/>
      <c r="D1215" s="86" t="s">
        <v>95</v>
      </c>
      <c r="E1215" s="86"/>
      <c r="F1215" s="88">
        <f>WORKDAY(F1214,3)</f>
        <v>46597</v>
      </c>
      <c r="G1215" s="88">
        <f t="shared" si="158"/>
        <v>46605</v>
      </c>
      <c r="H1215" s="86">
        <v>7</v>
      </c>
      <c r="I1215" s="86">
        <v>0</v>
      </c>
    </row>
    <row r="1216" spans="1:9">
      <c r="A1216" s="89" t="s">
        <v>126</v>
      </c>
      <c r="B1216" s="89" t="s">
        <v>118</v>
      </c>
      <c r="C1216" s="90"/>
      <c r="D1216" s="89" t="s">
        <v>96</v>
      </c>
      <c r="E1216" s="89"/>
      <c r="F1216" s="91">
        <f>WORKDAY(F1215,2)</f>
        <v>46601</v>
      </c>
      <c r="G1216" s="91">
        <f t="shared" si="158"/>
        <v>46612</v>
      </c>
      <c r="H1216" s="89">
        <v>10</v>
      </c>
      <c r="I1216" s="89">
        <v>2</v>
      </c>
    </row>
    <row r="1217" spans="1:9">
      <c r="A1217" s="89" t="s">
        <v>126</v>
      </c>
      <c r="B1217" s="89" t="s">
        <v>118</v>
      </c>
      <c r="C1217" s="90"/>
      <c r="D1217" s="89" t="s">
        <v>98</v>
      </c>
      <c r="E1217" s="89"/>
      <c r="F1217" s="91">
        <f>WORKDAY(F1215,2)</f>
        <v>46601</v>
      </c>
      <c r="G1217" s="91">
        <f t="shared" si="158"/>
        <v>46612</v>
      </c>
      <c r="H1217" s="89">
        <v>10</v>
      </c>
      <c r="I1217" s="89">
        <v>9</v>
      </c>
    </row>
    <row r="1218" spans="1:9">
      <c r="A1218" s="89" t="s">
        <v>126</v>
      </c>
      <c r="B1218" s="89" t="s">
        <v>118</v>
      </c>
      <c r="C1218" s="90"/>
      <c r="D1218" s="89" t="s">
        <v>101</v>
      </c>
      <c r="E1218" s="89"/>
      <c r="F1218" s="91">
        <f>WORKDAY(F1215,2)</f>
        <v>46601</v>
      </c>
      <c r="G1218" s="91">
        <f t="shared" si="158"/>
        <v>46612</v>
      </c>
      <c r="H1218" s="89">
        <v>10</v>
      </c>
      <c r="I1218" s="89">
        <v>0</v>
      </c>
    </row>
    <row r="1219" spans="1:9">
      <c r="A1219" s="38" t="s">
        <v>126</v>
      </c>
      <c r="B1219" s="38" t="s">
        <v>118</v>
      </c>
      <c r="C1219" s="92"/>
      <c r="D1219" s="38" t="s">
        <v>103</v>
      </c>
      <c r="E1219" s="38"/>
      <c r="F1219" s="93">
        <f>WORKDAY(G1217,-4)</f>
        <v>46608</v>
      </c>
      <c r="G1219" s="93">
        <f t="shared" si="158"/>
        <v>46610</v>
      </c>
      <c r="H1219" s="38">
        <v>3</v>
      </c>
      <c r="I1219" s="38">
        <v>0</v>
      </c>
    </row>
    <row r="1220" spans="1:9">
      <c r="A1220" s="38" t="s">
        <v>126</v>
      </c>
      <c r="B1220" s="38" t="s">
        <v>118</v>
      </c>
      <c r="C1220" s="92"/>
      <c r="D1220" s="38" t="s">
        <v>106</v>
      </c>
      <c r="E1220" s="38"/>
      <c r="F1220" s="93">
        <f>WORKDAY(G1217,-4)</f>
        <v>46608</v>
      </c>
      <c r="G1220" s="93">
        <f t="shared" si="158"/>
        <v>46619</v>
      </c>
      <c r="H1220" s="38">
        <v>10</v>
      </c>
      <c r="I1220" s="38">
        <v>10</v>
      </c>
    </row>
    <row r="1221" spans="1:9">
      <c r="A1221" s="38" t="s">
        <v>126</v>
      </c>
      <c r="B1221" s="38" t="s">
        <v>118</v>
      </c>
      <c r="C1221" s="92"/>
      <c r="D1221" s="38" t="s">
        <v>108</v>
      </c>
      <c r="E1221" s="38"/>
      <c r="F1221" s="93">
        <f>WORKDAY(G1217,-4)</f>
        <v>46608</v>
      </c>
      <c r="G1221" s="93">
        <f t="shared" si="158"/>
        <v>46619</v>
      </c>
      <c r="H1221" s="38">
        <v>10</v>
      </c>
      <c r="I1221" s="38">
        <v>6</v>
      </c>
    </row>
    <row r="1222" spans="1:9">
      <c r="A1222" s="94" t="s">
        <v>126</v>
      </c>
      <c r="B1222" s="94" t="s">
        <v>118</v>
      </c>
      <c r="C1222" s="95"/>
      <c r="D1222" s="96" t="s">
        <v>109</v>
      </c>
      <c r="E1222" s="96"/>
      <c r="F1222" s="97">
        <f>WORKDAY(G1217,1)</f>
        <v>46615</v>
      </c>
      <c r="G1222" s="97">
        <f t="shared" si="158"/>
        <v>46626</v>
      </c>
      <c r="H1222" s="94">
        <v>10</v>
      </c>
      <c r="I1222" s="94">
        <v>0</v>
      </c>
    </row>
    <row r="1223" spans="1:9">
      <c r="A1223" s="94" t="s">
        <v>126</v>
      </c>
      <c r="B1223" s="94" t="s">
        <v>118</v>
      </c>
      <c r="C1223" s="95"/>
      <c r="D1223" s="96" t="s">
        <v>112</v>
      </c>
      <c r="E1223" s="96"/>
      <c r="F1223" s="97">
        <f>WORKDAY(G1217,1)</f>
        <v>46615</v>
      </c>
      <c r="G1223" s="97">
        <f t="shared" si="158"/>
        <v>46626</v>
      </c>
      <c r="H1223" s="94">
        <v>10</v>
      </c>
      <c r="I1223" s="94">
        <v>0</v>
      </c>
    </row>
    <row r="1224" spans="1:9">
      <c r="A1224" s="77" t="s">
        <v>126</v>
      </c>
      <c r="B1224" s="77" t="s">
        <v>118</v>
      </c>
      <c r="C1224" s="98"/>
      <c r="D1224" s="77" t="s">
        <v>113</v>
      </c>
      <c r="E1224" s="77"/>
      <c r="F1224" s="44">
        <f>WORKDAY(G1222,-4)</f>
        <v>46622</v>
      </c>
      <c r="G1224" s="44">
        <f t="shared" si="158"/>
        <v>46626</v>
      </c>
      <c r="H1224" s="77">
        <v>5</v>
      </c>
      <c r="I1224" s="77">
        <v>1</v>
      </c>
    </row>
    <row r="1225" spans="1:9">
      <c r="A1225" s="77" t="s">
        <v>126</v>
      </c>
      <c r="B1225" s="77" t="s">
        <v>118</v>
      </c>
      <c r="C1225" s="98"/>
      <c r="D1225" s="77" t="s">
        <v>116</v>
      </c>
      <c r="E1225" s="77"/>
      <c r="F1225" s="44">
        <f>WORKDAY(G1222,-4)</f>
        <v>46622</v>
      </c>
      <c r="G1225" s="44">
        <f t="shared" si="158"/>
        <v>46626</v>
      </c>
      <c r="H1225" s="77">
        <v>5</v>
      </c>
      <c r="I1225" s="77">
        <v>0</v>
      </c>
    </row>
    <row r="1226" spans="1:9">
      <c r="A1226" s="5" t="s">
        <v>126</v>
      </c>
      <c r="B1226" s="99" t="s">
        <v>119</v>
      </c>
      <c r="C1226" s="100"/>
      <c r="D1226" s="6" t="s">
        <v>11</v>
      </c>
      <c r="E1226" s="6"/>
      <c r="F1226" s="8">
        <f>WORKDAY(G1175,1)</f>
        <v>46468</v>
      </c>
      <c r="G1226" s="8">
        <f>WORKDAY(F1226,H1226-1,)</f>
        <v>46479</v>
      </c>
      <c r="H1226" s="6">
        <v>10</v>
      </c>
      <c r="I1226" s="6">
        <v>0</v>
      </c>
    </row>
    <row r="1227" spans="1:9">
      <c r="A1227" s="5" t="s">
        <v>126</v>
      </c>
      <c r="B1227" s="99" t="s">
        <v>119</v>
      </c>
      <c r="C1227" s="100"/>
      <c r="D1227" s="6" t="s">
        <v>13</v>
      </c>
      <c r="E1227" s="6"/>
      <c r="F1227" s="8">
        <f>WORKDAY(G1175,1)</f>
        <v>46468</v>
      </c>
      <c r="G1227" s="8">
        <f t="shared" ref="G1227" si="160">WORKDAY(F1227,H1227-1,)</f>
        <v>46479</v>
      </c>
      <c r="H1227" s="6">
        <v>10</v>
      </c>
      <c r="I1227" s="6">
        <v>0</v>
      </c>
    </row>
    <row r="1228" spans="1:9">
      <c r="A1228" s="5" t="s">
        <v>126</v>
      </c>
      <c r="B1228" s="99" t="s">
        <v>119</v>
      </c>
      <c r="C1228" s="100"/>
      <c r="D1228" s="6" t="s">
        <v>15</v>
      </c>
      <c r="E1228" s="6"/>
      <c r="F1228" s="8">
        <f>WORKDAY(G1174,1)</f>
        <v>46468</v>
      </c>
      <c r="G1228" s="8">
        <f>WORKDAY(F1228,H1228-1,)</f>
        <v>46479</v>
      </c>
      <c r="H1228" s="6">
        <v>10</v>
      </c>
      <c r="I1228" s="6">
        <v>0</v>
      </c>
    </row>
    <row r="1229" spans="1:9">
      <c r="A1229" s="5" t="s">
        <v>126</v>
      </c>
      <c r="B1229" s="99" t="s">
        <v>119</v>
      </c>
      <c r="C1229" s="100"/>
      <c r="D1229" s="6" t="s">
        <v>120</v>
      </c>
      <c r="E1229" s="6"/>
      <c r="F1229" s="8">
        <f>WORKDAY(G1175,1)</f>
        <v>46468</v>
      </c>
      <c r="G1229" s="8">
        <f>WORKDAY(F1229,H1229-1,)</f>
        <v>46479</v>
      </c>
      <c r="H1229" s="6">
        <v>10</v>
      </c>
      <c r="I1229" s="6">
        <v>0</v>
      </c>
    </row>
    <row r="1230" spans="1:9">
      <c r="A1230" s="11" t="s">
        <v>126</v>
      </c>
      <c r="B1230" s="101" t="s">
        <v>119</v>
      </c>
      <c r="C1230" s="102"/>
      <c r="D1230" s="11" t="s">
        <v>16</v>
      </c>
      <c r="E1230" s="11"/>
      <c r="F1230" s="12">
        <f>WORKDAY(G1229,-4)</f>
        <v>46475</v>
      </c>
      <c r="G1230" s="12">
        <f t="shared" ref="G1230:G1237" si="161">WORKDAY(F1230,H1230-1,)</f>
        <v>46486</v>
      </c>
      <c r="H1230" s="11">
        <v>10</v>
      </c>
      <c r="I1230" s="11">
        <v>0</v>
      </c>
    </row>
    <row r="1231" spans="1:9">
      <c r="A1231" s="11" t="s">
        <v>126</v>
      </c>
      <c r="B1231" s="101" t="s">
        <v>119</v>
      </c>
      <c r="C1231" s="102"/>
      <c r="D1231" s="11" t="s">
        <v>18</v>
      </c>
      <c r="E1231" s="11"/>
      <c r="F1231" s="12">
        <f>WORKDAY(G1229,-4)</f>
        <v>46475</v>
      </c>
      <c r="G1231" s="12">
        <f t="shared" si="161"/>
        <v>46486</v>
      </c>
      <c r="H1231" s="11">
        <v>10</v>
      </c>
      <c r="I1231" s="13">
        <v>0</v>
      </c>
    </row>
    <row r="1232" spans="1:9">
      <c r="A1232" s="11" t="s">
        <v>126</v>
      </c>
      <c r="B1232" s="101" t="s">
        <v>119</v>
      </c>
      <c r="C1232" s="102"/>
      <c r="D1232" s="11" t="s">
        <v>21</v>
      </c>
      <c r="E1232" s="11"/>
      <c r="F1232" s="12">
        <f>WORKDAY(G1229,-4)</f>
        <v>46475</v>
      </c>
      <c r="G1232" s="12">
        <f t="shared" si="161"/>
        <v>46486</v>
      </c>
      <c r="H1232" s="11">
        <v>10</v>
      </c>
      <c r="I1232" s="11">
        <v>3</v>
      </c>
    </row>
    <row r="1233" spans="1:9">
      <c r="A1233" s="11" t="s">
        <v>126</v>
      </c>
      <c r="B1233" s="101" t="s">
        <v>119</v>
      </c>
      <c r="C1233" s="102"/>
      <c r="D1233" s="11" t="s">
        <v>24</v>
      </c>
      <c r="E1233" s="11"/>
      <c r="F1233" s="12">
        <f>WORKDAY(G1229,-4)</f>
        <v>46475</v>
      </c>
      <c r="G1233" s="12">
        <f t="shared" si="161"/>
        <v>46486</v>
      </c>
      <c r="H1233" s="11">
        <v>10</v>
      </c>
      <c r="I1233" s="11">
        <v>0</v>
      </c>
    </row>
    <row r="1234" spans="1:9">
      <c r="A1234" s="17" t="s">
        <v>126</v>
      </c>
      <c r="B1234" s="103" t="s">
        <v>119</v>
      </c>
      <c r="C1234" s="104"/>
      <c r="D1234" s="17" t="s">
        <v>26</v>
      </c>
      <c r="E1234" s="17"/>
      <c r="F1234" s="18">
        <f>WORKDAY(G1233,-4)</f>
        <v>46482</v>
      </c>
      <c r="G1234" s="18">
        <f t="shared" si="161"/>
        <v>46493</v>
      </c>
      <c r="H1234" s="17">
        <v>10</v>
      </c>
      <c r="I1234" s="17">
        <v>2</v>
      </c>
    </row>
    <row r="1235" spans="1:9">
      <c r="A1235" s="21" t="s">
        <v>126</v>
      </c>
      <c r="B1235" s="21" t="s">
        <v>119</v>
      </c>
      <c r="C1235" s="20"/>
      <c r="D1235" s="21" t="s">
        <v>29</v>
      </c>
      <c r="E1235" s="21"/>
      <c r="F1235" s="22">
        <f>WORKDAY(F1234,5)</f>
        <v>46489</v>
      </c>
      <c r="G1235" s="22">
        <f t="shared" si="161"/>
        <v>46493</v>
      </c>
      <c r="H1235" s="21">
        <v>5</v>
      </c>
      <c r="I1235" s="21">
        <v>4</v>
      </c>
    </row>
    <row r="1236" spans="1:9">
      <c r="A1236" s="21" t="s">
        <v>126</v>
      </c>
      <c r="B1236" s="21" t="s">
        <v>119</v>
      </c>
      <c r="C1236" s="20"/>
      <c r="D1236" s="21" t="s">
        <v>32</v>
      </c>
      <c r="E1236" s="21"/>
      <c r="F1236" s="22">
        <f>WORKDAY(G1234,1)</f>
        <v>46496</v>
      </c>
      <c r="G1236" s="22">
        <f t="shared" si="161"/>
        <v>46500</v>
      </c>
      <c r="H1236" s="21">
        <v>5</v>
      </c>
      <c r="I1236" s="21">
        <v>0</v>
      </c>
    </row>
    <row r="1237" spans="1:9">
      <c r="A1237" s="21" t="s">
        <v>126</v>
      </c>
      <c r="B1237" s="21" t="s">
        <v>119</v>
      </c>
      <c r="C1237" s="20"/>
      <c r="D1237" s="21" t="s">
        <v>34</v>
      </c>
      <c r="E1237" s="21"/>
      <c r="F1237" s="22">
        <f>WORKDAY(G1231,1)</f>
        <v>46489</v>
      </c>
      <c r="G1237" s="22">
        <f t="shared" si="161"/>
        <v>46500</v>
      </c>
      <c r="H1237" s="21">
        <v>10</v>
      </c>
      <c r="I1237" s="21">
        <v>1</v>
      </c>
    </row>
    <row r="1238" spans="1:9">
      <c r="A1238" s="31" t="s">
        <v>126</v>
      </c>
      <c r="B1238" s="31" t="s">
        <v>119</v>
      </c>
      <c r="C1238" s="30"/>
      <c r="D1238" s="31" t="s">
        <v>37</v>
      </c>
      <c r="E1238" s="31"/>
      <c r="F1238" s="32">
        <f>WORKDAY(G1237,1)</f>
        <v>46503</v>
      </c>
      <c r="G1238" s="32">
        <f>WORKDAY(F1238,H1238-1,)</f>
        <v>46514</v>
      </c>
      <c r="H1238" s="31">
        <v>10</v>
      </c>
      <c r="I1238" s="128">
        <v>2</v>
      </c>
    </row>
    <row r="1239" spans="1:9">
      <c r="A1239" s="31" t="s">
        <v>126</v>
      </c>
      <c r="B1239" s="31" t="s">
        <v>119</v>
      </c>
      <c r="C1239" s="30"/>
      <c r="D1239" s="31" t="s">
        <v>40</v>
      </c>
      <c r="E1239" s="31"/>
      <c r="F1239" s="32">
        <f>WORKDAY(G1237,1)</f>
        <v>46503</v>
      </c>
      <c r="G1239" s="32">
        <f t="shared" ref="G1239:G1251" si="162">WORKDAY(F1239,H1239-1,)</f>
        <v>46514</v>
      </c>
      <c r="H1239" s="31">
        <v>10</v>
      </c>
      <c r="I1239" s="128"/>
    </row>
    <row r="1240" spans="1:9">
      <c r="A1240" s="31" t="s">
        <v>126</v>
      </c>
      <c r="B1240" s="31" t="s">
        <v>119</v>
      </c>
      <c r="C1240" s="30"/>
      <c r="D1240" s="31" t="s">
        <v>42</v>
      </c>
      <c r="E1240" s="31"/>
      <c r="F1240" s="32">
        <f>WORKDAY(G1237,1)</f>
        <v>46503</v>
      </c>
      <c r="G1240" s="32">
        <f t="shared" si="162"/>
        <v>46514</v>
      </c>
      <c r="H1240" s="31">
        <v>10</v>
      </c>
      <c r="I1240" s="128"/>
    </row>
    <row r="1241" spans="1:9">
      <c r="A1241" s="31" t="s">
        <v>126</v>
      </c>
      <c r="B1241" s="31" t="s">
        <v>119</v>
      </c>
      <c r="C1241" s="30"/>
      <c r="D1241" s="31" t="s">
        <v>44</v>
      </c>
      <c r="E1241" s="31"/>
      <c r="F1241" s="32">
        <f>WORKDAY(G1237,1)</f>
        <v>46503</v>
      </c>
      <c r="G1241" s="32">
        <f t="shared" si="162"/>
        <v>46514</v>
      </c>
      <c r="H1241" s="31">
        <v>10</v>
      </c>
      <c r="I1241" s="128"/>
    </row>
    <row r="1242" spans="1:9">
      <c r="A1242" s="31" t="s">
        <v>126</v>
      </c>
      <c r="B1242" s="31" t="s">
        <v>119</v>
      </c>
      <c r="C1242" s="30"/>
      <c r="D1242" s="31" t="s">
        <v>45</v>
      </c>
      <c r="E1242" s="31"/>
      <c r="F1242" s="32">
        <f>WORKDAY(G1237,1)</f>
        <v>46503</v>
      </c>
      <c r="G1242" s="32">
        <f t="shared" si="162"/>
        <v>46514</v>
      </c>
      <c r="H1242" s="31">
        <v>10</v>
      </c>
      <c r="I1242" s="31">
        <v>5</v>
      </c>
    </row>
    <row r="1243" spans="1:9">
      <c r="A1243" s="25" t="s">
        <v>126</v>
      </c>
      <c r="B1243" s="25" t="s">
        <v>119</v>
      </c>
      <c r="C1243" s="105"/>
      <c r="D1243" s="26" t="s">
        <v>47</v>
      </c>
      <c r="E1243" s="26"/>
      <c r="F1243" s="27">
        <f>WORKDAY(G1242,-4)</f>
        <v>46510</v>
      </c>
      <c r="G1243" s="28">
        <f t="shared" si="162"/>
        <v>46521</v>
      </c>
      <c r="H1243" s="26">
        <v>10</v>
      </c>
      <c r="I1243" s="26">
        <v>8</v>
      </c>
    </row>
    <row r="1244" spans="1:9">
      <c r="A1244" s="77" t="s">
        <v>126</v>
      </c>
      <c r="B1244" s="77" t="s">
        <v>119</v>
      </c>
      <c r="C1244" s="98"/>
      <c r="D1244" s="42" t="s">
        <v>50</v>
      </c>
      <c r="E1244" s="42"/>
      <c r="F1244" s="43">
        <f>WORKDAY(G1242,1)</f>
        <v>46517</v>
      </c>
      <c r="G1244" s="44">
        <f t="shared" si="162"/>
        <v>46517</v>
      </c>
      <c r="H1244" s="42">
        <v>1</v>
      </c>
      <c r="I1244" s="42">
        <v>0</v>
      </c>
    </row>
    <row r="1245" spans="1:9">
      <c r="A1245" s="21" t="s">
        <v>126</v>
      </c>
      <c r="B1245" s="21" t="s">
        <v>119</v>
      </c>
      <c r="C1245" s="20"/>
      <c r="D1245" s="47" t="s">
        <v>52</v>
      </c>
      <c r="E1245" s="47"/>
      <c r="F1245" s="48">
        <f>WORKDAY(G1243,1)</f>
        <v>46524</v>
      </c>
      <c r="G1245" s="22">
        <f t="shared" si="162"/>
        <v>46535</v>
      </c>
      <c r="H1245" s="47">
        <v>10</v>
      </c>
      <c r="I1245" s="47">
        <v>5</v>
      </c>
    </row>
    <row r="1246" spans="1:9">
      <c r="A1246" s="21" t="s">
        <v>126</v>
      </c>
      <c r="B1246" s="21" t="s">
        <v>119</v>
      </c>
      <c r="C1246" s="20"/>
      <c r="D1246" s="49" t="s">
        <v>55</v>
      </c>
      <c r="E1246" s="49"/>
      <c r="F1246" s="48">
        <f>WORKDAY(G1243,1)</f>
        <v>46524</v>
      </c>
      <c r="G1246" s="22">
        <f t="shared" si="162"/>
        <v>46535</v>
      </c>
      <c r="H1246" s="47">
        <v>10</v>
      </c>
      <c r="I1246" s="47">
        <v>0</v>
      </c>
    </row>
    <row r="1247" spans="1:9">
      <c r="A1247" s="52" t="s">
        <v>126</v>
      </c>
      <c r="B1247" s="110" t="s">
        <v>119</v>
      </c>
      <c r="C1247" s="111"/>
      <c r="D1247" s="52" t="s">
        <v>56</v>
      </c>
      <c r="E1247" s="52"/>
      <c r="F1247" s="53">
        <f t="shared" ref="F1247" si="163">WORKDAY(G1246,1)</f>
        <v>46538</v>
      </c>
      <c r="G1247" s="53">
        <f t="shared" si="162"/>
        <v>46549</v>
      </c>
      <c r="H1247" s="52">
        <v>10</v>
      </c>
      <c r="I1247" s="52">
        <v>4</v>
      </c>
    </row>
    <row r="1248" spans="1:9">
      <c r="A1248" s="52" t="s">
        <v>126</v>
      </c>
      <c r="B1248" s="110" t="s">
        <v>119</v>
      </c>
      <c r="C1248" s="111"/>
      <c r="D1248" s="52" t="s">
        <v>59</v>
      </c>
      <c r="E1248" s="52"/>
      <c r="F1248" s="53">
        <f>WORKDAY(G1246,1)</f>
        <v>46538</v>
      </c>
      <c r="G1248" s="53">
        <f t="shared" si="162"/>
        <v>46538</v>
      </c>
      <c r="H1248" s="52">
        <v>1</v>
      </c>
      <c r="I1248" s="52">
        <v>0</v>
      </c>
    </row>
    <row r="1249" spans="1:9">
      <c r="A1249" s="124" t="s">
        <v>126</v>
      </c>
      <c r="B1249" s="112" t="s">
        <v>119</v>
      </c>
      <c r="C1249" s="113"/>
      <c r="D1249" s="56" t="s">
        <v>62</v>
      </c>
      <c r="E1249" s="56"/>
      <c r="F1249" s="57">
        <f>WORKDAY(G1247,-4)</f>
        <v>46545</v>
      </c>
      <c r="G1249" s="57">
        <f t="shared" si="162"/>
        <v>46556</v>
      </c>
      <c r="H1249" s="56">
        <v>10</v>
      </c>
      <c r="I1249" s="56">
        <v>0</v>
      </c>
    </row>
    <row r="1250" spans="1:9">
      <c r="A1250" s="124" t="s">
        <v>126</v>
      </c>
      <c r="B1250" s="112" t="s">
        <v>119</v>
      </c>
      <c r="C1250" s="113"/>
      <c r="D1250" s="56" t="s">
        <v>64</v>
      </c>
      <c r="E1250" s="56"/>
      <c r="F1250" s="57">
        <f>WORKDAY(F1249,1)</f>
        <v>46546</v>
      </c>
      <c r="G1250" s="57">
        <f t="shared" si="162"/>
        <v>46556</v>
      </c>
      <c r="H1250" s="56">
        <v>9</v>
      </c>
      <c r="I1250" s="56">
        <v>0</v>
      </c>
    </row>
    <row r="1251" spans="1:9">
      <c r="A1251" s="31" t="s">
        <v>126</v>
      </c>
      <c r="B1251" s="31" t="s">
        <v>119</v>
      </c>
      <c r="C1251" s="30"/>
      <c r="D1251" s="58" t="s">
        <v>65</v>
      </c>
      <c r="E1251" s="58"/>
      <c r="F1251" s="59">
        <f>WORKDAY(G1249,1)</f>
        <v>46559</v>
      </c>
      <c r="G1251" s="32">
        <f t="shared" si="162"/>
        <v>46570</v>
      </c>
      <c r="H1251" s="58">
        <v>10</v>
      </c>
      <c r="I1251" s="58">
        <v>2</v>
      </c>
    </row>
    <row r="1252" spans="1:9">
      <c r="A1252" s="106" t="s">
        <v>126</v>
      </c>
      <c r="B1252" s="107" t="s">
        <v>119</v>
      </c>
      <c r="C1252" s="108"/>
      <c r="D1252" s="64" t="s">
        <v>68</v>
      </c>
      <c r="E1252" s="64"/>
      <c r="F1252" s="65">
        <f>WORKDAY(G1251,1)</f>
        <v>46573</v>
      </c>
      <c r="G1252" s="65">
        <f>WORKDAY(F1252,H1252-1,)</f>
        <v>46584</v>
      </c>
      <c r="H1252" s="64">
        <v>10</v>
      </c>
      <c r="I1252" s="129">
        <v>2</v>
      </c>
    </row>
    <row r="1253" spans="1:9">
      <c r="A1253" s="106" t="s">
        <v>126</v>
      </c>
      <c r="B1253" s="107" t="s">
        <v>119</v>
      </c>
      <c r="C1253" s="108"/>
      <c r="D1253" s="64" t="s">
        <v>71</v>
      </c>
      <c r="E1253" s="64"/>
      <c r="F1253" s="65">
        <f>WORKDAY(G1251,1)</f>
        <v>46573</v>
      </c>
      <c r="G1253" s="65">
        <f t="shared" ref="G1253:G1255" si="164">WORKDAY(F1252,H1252-1,)</f>
        <v>46584</v>
      </c>
      <c r="H1253" s="64">
        <v>10</v>
      </c>
      <c r="I1253" s="129"/>
    </row>
    <row r="1254" spans="1:9">
      <c r="A1254" s="106" t="s">
        <v>126</v>
      </c>
      <c r="B1254" s="107" t="s">
        <v>119</v>
      </c>
      <c r="C1254" s="108"/>
      <c r="D1254" s="64" t="s">
        <v>72</v>
      </c>
      <c r="E1254" s="64"/>
      <c r="F1254" s="65">
        <f>WORKDAY(G1251,1)</f>
        <v>46573</v>
      </c>
      <c r="G1254" s="65">
        <f t="shared" si="164"/>
        <v>46584</v>
      </c>
      <c r="H1254" s="64">
        <v>10</v>
      </c>
      <c r="I1254" s="129"/>
    </row>
    <row r="1255" spans="1:9">
      <c r="A1255" s="106" t="s">
        <v>126</v>
      </c>
      <c r="B1255" s="107" t="s">
        <v>119</v>
      </c>
      <c r="C1255" s="108"/>
      <c r="D1255" s="64" t="s">
        <v>73</v>
      </c>
      <c r="E1255" s="64"/>
      <c r="F1255" s="65">
        <f>WORKDAY(G1251,1)</f>
        <v>46573</v>
      </c>
      <c r="G1255" s="65">
        <f t="shared" si="164"/>
        <v>46584</v>
      </c>
      <c r="H1255" s="64">
        <v>10</v>
      </c>
      <c r="I1255" s="129"/>
    </row>
    <row r="1256" spans="1:9">
      <c r="A1256" s="107" t="s">
        <v>126</v>
      </c>
      <c r="B1256" s="107" t="s">
        <v>119</v>
      </c>
      <c r="C1256" s="108"/>
      <c r="D1256" s="64" t="s">
        <v>74</v>
      </c>
      <c r="E1256" s="64"/>
      <c r="F1256" s="65">
        <f>WORKDAY(G1251,1)</f>
        <v>46573</v>
      </c>
      <c r="G1256" s="66">
        <f>WORKDAY(F1256,H1256-1,)</f>
        <v>46584</v>
      </c>
      <c r="H1256" s="64">
        <v>10</v>
      </c>
      <c r="I1256" s="64">
        <v>3</v>
      </c>
    </row>
    <row r="1257" spans="1:9">
      <c r="A1257" s="107" t="s">
        <v>126</v>
      </c>
      <c r="B1257" s="107" t="s">
        <v>119</v>
      </c>
      <c r="C1257" s="108"/>
      <c r="D1257" s="64" t="s">
        <v>77</v>
      </c>
      <c r="E1257" s="64"/>
      <c r="F1257" s="65">
        <f>WORKDAY(G1251,1)</f>
        <v>46573</v>
      </c>
      <c r="G1257" s="66">
        <f t="shared" ref="G1257:G1279" si="165">WORKDAY(F1257,H1257-1,)</f>
        <v>46584</v>
      </c>
      <c r="H1257" s="64">
        <v>10</v>
      </c>
      <c r="I1257" s="64">
        <v>0</v>
      </c>
    </row>
    <row r="1258" spans="1:9">
      <c r="A1258" s="107" t="s">
        <v>126</v>
      </c>
      <c r="B1258" s="107" t="s">
        <v>119</v>
      </c>
      <c r="C1258" s="108"/>
      <c r="D1258" s="64" t="s">
        <v>80</v>
      </c>
      <c r="E1258" s="64"/>
      <c r="F1258" s="65">
        <f>WORKDAY(G1251,1)</f>
        <v>46573</v>
      </c>
      <c r="G1258" s="66">
        <f t="shared" si="165"/>
        <v>46584</v>
      </c>
      <c r="H1258" s="64">
        <v>10</v>
      </c>
      <c r="I1258" s="64">
        <v>0</v>
      </c>
    </row>
    <row r="1259" spans="1:9">
      <c r="A1259" s="107" t="s">
        <v>126</v>
      </c>
      <c r="B1259" s="107" t="s">
        <v>119</v>
      </c>
      <c r="C1259" s="108"/>
      <c r="D1259" s="64" t="s">
        <v>81</v>
      </c>
      <c r="E1259" s="64"/>
      <c r="F1259" s="65">
        <f>WORKDAY(G1251,1)</f>
        <v>46573</v>
      </c>
      <c r="G1259" s="66">
        <f t="shared" si="165"/>
        <v>46584</v>
      </c>
      <c r="H1259" s="64">
        <v>10</v>
      </c>
      <c r="I1259" s="64">
        <v>6</v>
      </c>
    </row>
    <row r="1260" spans="1:9">
      <c r="A1260" s="70" t="s">
        <v>126</v>
      </c>
      <c r="B1260" s="119" t="s">
        <v>119</v>
      </c>
      <c r="C1260" s="120"/>
      <c r="D1260" s="70" t="s">
        <v>82</v>
      </c>
      <c r="E1260" s="70"/>
      <c r="F1260" s="71">
        <f t="shared" ref="F1260" si="166">WORKDAY(G1259,1)</f>
        <v>46587</v>
      </c>
      <c r="G1260" s="71">
        <f t="shared" si="165"/>
        <v>46598</v>
      </c>
      <c r="H1260" s="70">
        <v>10</v>
      </c>
      <c r="I1260" s="70">
        <v>4</v>
      </c>
    </row>
    <row r="1261" spans="1:9">
      <c r="A1261" s="77" t="s">
        <v>126</v>
      </c>
      <c r="B1261" s="77" t="s">
        <v>119</v>
      </c>
      <c r="C1261" s="98"/>
      <c r="D1261" s="75" t="s">
        <v>85</v>
      </c>
      <c r="E1261" s="75"/>
      <c r="F1261" s="76">
        <f>WORKDAY(G1260,-1)</f>
        <v>46597</v>
      </c>
      <c r="G1261" s="44">
        <f t="shared" si="165"/>
        <v>46601</v>
      </c>
      <c r="H1261" s="75">
        <v>3</v>
      </c>
      <c r="I1261" s="75">
        <v>6</v>
      </c>
    </row>
    <row r="1262" spans="1:9">
      <c r="A1262" s="77" t="s">
        <v>126</v>
      </c>
      <c r="B1262" s="77" t="s">
        <v>119</v>
      </c>
      <c r="C1262" s="98"/>
      <c r="D1262" s="75" t="s">
        <v>86</v>
      </c>
      <c r="E1262" s="75"/>
      <c r="F1262" s="76">
        <f>WORKDAY(G1260,1)</f>
        <v>46601</v>
      </c>
      <c r="G1262" s="44">
        <f t="shared" si="165"/>
        <v>46612</v>
      </c>
      <c r="H1262" s="75">
        <v>10</v>
      </c>
      <c r="I1262" s="75">
        <v>0</v>
      </c>
    </row>
    <row r="1263" spans="1:9">
      <c r="A1263" s="78" t="s">
        <v>126</v>
      </c>
      <c r="B1263" s="78" t="s">
        <v>119</v>
      </c>
      <c r="C1263" s="109"/>
      <c r="D1263" s="79" t="s">
        <v>87</v>
      </c>
      <c r="E1263" s="79"/>
      <c r="F1263" s="81">
        <f>WORKDAY(F1261,4)</f>
        <v>46603</v>
      </c>
      <c r="G1263" s="82">
        <f t="shared" si="165"/>
        <v>46616</v>
      </c>
      <c r="H1263" s="79">
        <v>10</v>
      </c>
      <c r="I1263" s="79">
        <v>4</v>
      </c>
    </row>
    <row r="1264" spans="1:9">
      <c r="A1264" s="83" t="s">
        <v>126</v>
      </c>
      <c r="B1264" s="114" t="s">
        <v>119</v>
      </c>
      <c r="C1264" s="115"/>
      <c r="D1264" s="83" t="s">
        <v>89</v>
      </c>
      <c r="E1264" s="83"/>
      <c r="F1264" s="85">
        <f>WORKDAY(F1263,3)</f>
        <v>46608</v>
      </c>
      <c r="G1264" s="85">
        <f t="shared" si="165"/>
        <v>46619</v>
      </c>
      <c r="H1264" s="83">
        <v>10</v>
      </c>
      <c r="I1264" s="127">
        <v>0</v>
      </c>
    </row>
    <row r="1265" spans="1:9">
      <c r="A1265" s="83" t="s">
        <v>126</v>
      </c>
      <c r="B1265" s="114" t="s">
        <v>119</v>
      </c>
      <c r="C1265" s="115"/>
      <c r="D1265" s="83" t="s">
        <v>91</v>
      </c>
      <c r="E1265" s="83"/>
      <c r="F1265" s="85">
        <f>WORKDAY(F1263,3)</f>
        <v>46608</v>
      </c>
      <c r="G1265" s="85">
        <f t="shared" si="165"/>
        <v>46619</v>
      </c>
      <c r="H1265" s="83">
        <v>10</v>
      </c>
      <c r="I1265" s="127"/>
    </row>
    <row r="1266" spans="1:9">
      <c r="A1266" s="83" t="s">
        <v>126</v>
      </c>
      <c r="B1266" s="114" t="s">
        <v>119</v>
      </c>
      <c r="C1266" s="115"/>
      <c r="D1266" s="83" t="s">
        <v>92</v>
      </c>
      <c r="E1266" s="83"/>
      <c r="F1266" s="85">
        <f>WORKDAY(F1263,3)</f>
        <v>46608</v>
      </c>
      <c r="G1266" s="85">
        <f t="shared" si="165"/>
        <v>46619</v>
      </c>
      <c r="H1266" s="83">
        <v>10</v>
      </c>
      <c r="I1266" s="127"/>
    </row>
    <row r="1267" spans="1:9">
      <c r="A1267" s="83" t="s">
        <v>126</v>
      </c>
      <c r="B1267" s="114" t="s">
        <v>119</v>
      </c>
      <c r="C1267" s="115"/>
      <c r="D1267" s="83" t="s">
        <v>93</v>
      </c>
      <c r="E1267" s="83"/>
      <c r="F1267" s="85">
        <f>WORKDAY(F1263,3)</f>
        <v>46608</v>
      </c>
      <c r="G1267" s="85">
        <f t="shared" si="165"/>
        <v>46619</v>
      </c>
      <c r="H1267" s="83">
        <v>10</v>
      </c>
      <c r="I1267" s="127"/>
    </row>
    <row r="1268" spans="1:9">
      <c r="A1268" s="83" t="s">
        <v>126</v>
      </c>
      <c r="B1268" s="114" t="s">
        <v>119</v>
      </c>
      <c r="C1268" s="115"/>
      <c r="D1268" s="83" t="s">
        <v>94</v>
      </c>
      <c r="E1268" s="83"/>
      <c r="F1268" s="85">
        <f>WORKDAY(F1263,3)</f>
        <v>46608</v>
      </c>
      <c r="G1268" s="85">
        <f t="shared" si="165"/>
        <v>46619</v>
      </c>
      <c r="H1268" s="83">
        <v>10</v>
      </c>
      <c r="I1268" s="83">
        <v>0</v>
      </c>
    </row>
    <row r="1269" spans="1:9">
      <c r="A1269" s="86" t="s">
        <v>126</v>
      </c>
      <c r="B1269" s="116" t="s">
        <v>119</v>
      </c>
      <c r="C1269" s="117"/>
      <c r="D1269" s="86" t="s">
        <v>95</v>
      </c>
      <c r="E1269" s="86"/>
      <c r="F1269" s="88">
        <f>WORKDAY(F1268,3)</f>
        <v>46611</v>
      </c>
      <c r="G1269" s="88">
        <f t="shared" si="165"/>
        <v>46619</v>
      </c>
      <c r="H1269" s="86">
        <v>7</v>
      </c>
      <c r="I1269" s="86">
        <v>0</v>
      </c>
    </row>
    <row r="1270" spans="1:9">
      <c r="A1270" s="89" t="s">
        <v>126</v>
      </c>
      <c r="B1270" s="89" t="s">
        <v>119</v>
      </c>
      <c r="C1270" s="90"/>
      <c r="D1270" s="89" t="s">
        <v>96</v>
      </c>
      <c r="E1270" s="89"/>
      <c r="F1270" s="91">
        <f>WORKDAY(F1269,2)</f>
        <v>46615</v>
      </c>
      <c r="G1270" s="91">
        <f t="shared" si="165"/>
        <v>46626</v>
      </c>
      <c r="H1270" s="89">
        <v>10</v>
      </c>
      <c r="I1270" s="89">
        <v>0</v>
      </c>
    </row>
    <row r="1271" spans="1:9">
      <c r="A1271" s="89" t="s">
        <v>126</v>
      </c>
      <c r="B1271" s="89" t="s">
        <v>119</v>
      </c>
      <c r="C1271" s="90"/>
      <c r="D1271" s="89" t="s">
        <v>98</v>
      </c>
      <c r="E1271" s="89"/>
      <c r="F1271" s="91">
        <f>WORKDAY(F1269,2)</f>
        <v>46615</v>
      </c>
      <c r="G1271" s="91">
        <f t="shared" si="165"/>
        <v>46626</v>
      </c>
      <c r="H1271" s="89">
        <v>10</v>
      </c>
      <c r="I1271" s="89">
        <v>4</v>
      </c>
    </row>
    <row r="1272" spans="1:9">
      <c r="A1272" s="89" t="s">
        <v>126</v>
      </c>
      <c r="B1272" s="89" t="s">
        <v>119</v>
      </c>
      <c r="C1272" s="90"/>
      <c r="D1272" s="89" t="s">
        <v>101</v>
      </c>
      <c r="E1272" s="89"/>
      <c r="F1272" s="91">
        <f>WORKDAY(F1269,2)</f>
        <v>46615</v>
      </c>
      <c r="G1272" s="91">
        <f t="shared" si="165"/>
        <v>46626</v>
      </c>
      <c r="H1272" s="89">
        <v>10</v>
      </c>
      <c r="I1272" s="89">
        <v>0</v>
      </c>
    </row>
    <row r="1273" spans="1:9">
      <c r="A1273" s="38" t="s">
        <v>126</v>
      </c>
      <c r="B1273" s="38" t="s">
        <v>119</v>
      </c>
      <c r="C1273" s="92"/>
      <c r="D1273" s="38" t="s">
        <v>103</v>
      </c>
      <c r="E1273" s="38"/>
      <c r="F1273" s="93">
        <f>WORKDAY(G1271,-4)</f>
        <v>46622</v>
      </c>
      <c r="G1273" s="93">
        <f t="shared" si="165"/>
        <v>46624</v>
      </c>
      <c r="H1273" s="38">
        <v>3</v>
      </c>
      <c r="I1273" s="38">
        <v>0</v>
      </c>
    </row>
    <row r="1274" spans="1:9">
      <c r="A1274" s="38" t="s">
        <v>126</v>
      </c>
      <c r="B1274" s="38" t="s">
        <v>119</v>
      </c>
      <c r="C1274" s="92"/>
      <c r="D1274" s="38" t="s">
        <v>106</v>
      </c>
      <c r="E1274" s="38"/>
      <c r="F1274" s="93">
        <f>WORKDAY(G1271,-4)</f>
        <v>46622</v>
      </c>
      <c r="G1274" s="93">
        <f t="shared" si="165"/>
        <v>46633</v>
      </c>
      <c r="H1274" s="38">
        <v>10</v>
      </c>
      <c r="I1274" s="38">
        <v>5</v>
      </c>
    </row>
    <row r="1275" spans="1:9">
      <c r="A1275" s="38" t="s">
        <v>126</v>
      </c>
      <c r="B1275" s="38" t="s">
        <v>119</v>
      </c>
      <c r="C1275" s="92"/>
      <c r="D1275" s="38" t="s">
        <v>108</v>
      </c>
      <c r="E1275" s="38"/>
      <c r="F1275" s="93">
        <f>WORKDAY(G1271,-4)</f>
        <v>46622</v>
      </c>
      <c r="G1275" s="93">
        <f t="shared" si="165"/>
        <v>46633</v>
      </c>
      <c r="H1275" s="38">
        <v>10</v>
      </c>
      <c r="I1275" s="38">
        <v>3</v>
      </c>
    </row>
    <row r="1276" spans="1:9">
      <c r="A1276" s="94" t="s">
        <v>126</v>
      </c>
      <c r="B1276" s="94" t="s">
        <v>119</v>
      </c>
      <c r="C1276" s="95"/>
      <c r="D1276" s="96" t="s">
        <v>109</v>
      </c>
      <c r="E1276" s="96"/>
      <c r="F1276" s="97">
        <f>WORKDAY(G1271,1)</f>
        <v>46629</v>
      </c>
      <c r="G1276" s="97">
        <f t="shared" si="165"/>
        <v>46640</v>
      </c>
      <c r="H1276" s="94">
        <v>10</v>
      </c>
      <c r="I1276" s="94">
        <v>0</v>
      </c>
    </row>
    <row r="1277" spans="1:9">
      <c r="A1277" s="94" t="s">
        <v>126</v>
      </c>
      <c r="B1277" s="94" t="s">
        <v>119</v>
      </c>
      <c r="C1277" s="95"/>
      <c r="D1277" s="96" t="s">
        <v>112</v>
      </c>
      <c r="E1277" s="96"/>
      <c r="F1277" s="97">
        <f>WORKDAY(G1271,1)</f>
        <v>46629</v>
      </c>
      <c r="G1277" s="97">
        <f t="shared" si="165"/>
        <v>46640</v>
      </c>
      <c r="H1277" s="94">
        <v>10</v>
      </c>
      <c r="I1277" s="94">
        <v>0</v>
      </c>
    </row>
    <row r="1278" spans="1:9">
      <c r="A1278" s="77" t="s">
        <v>126</v>
      </c>
      <c r="B1278" s="77" t="s">
        <v>119</v>
      </c>
      <c r="C1278" s="98"/>
      <c r="D1278" s="77" t="s">
        <v>113</v>
      </c>
      <c r="E1278" s="77"/>
      <c r="F1278" s="44">
        <f>WORKDAY(G1276,-4)</f>
        <v>46636</v>
      </c>
      <c r="G1278" s="44">
        <f t="shared" si="165"/>
        <v>46640</v>
      </c>
      <c r="H1278" s="77">
        <v>5</v>
      </c>
      <c r="I1278" s="77">
        <v>0</v>
      </c>
    </row>
    <row r="1279" spans="1:9">
      <c r="A1279" s="77" t="s">
        <v>126</v>
      </c>
      <c r="B1279" s="77" t="s">
        <v>119</v>
      </c>
      <c r="C1279" s="98"/>
      <c r="D1279" s="77" t="s">
        <v>116</v>
      </c>
      <c r="E1279" s="77"/>
      <c r="F1279" s="44">
        <f>WORKDAY(G1276,-4)</f>
        <v>46636</v>
      </c>
      <c r="G1279" s="44">
        <f t="shared" si="165"/>
        <v>46640</v>
      </c>
      <c r="H1279" s="77">
        <v>5</v>
      </c>
      <c r="I1279" s="77">
        <v>0</v>
      </c>
    </row>
    <row r="1280" spans="1:9">
      <c r="A1280" s="5" t="s">
        <v>127</v>
      </c>
      <c r="B1280" s="6" t="s">
        <v>10</v>
      </c>
      <c r="C1280" s="7"/>
      <c r="D1280" s="6" t="s">
        <v>11</v>
      </c>
      <c r="E1280" s="6"/>
      <c r="F1280" s="8">
        <f>WORKDAY(G1229,1)</f>
        <v>46482</v>
      </c>
      <c r="G1280" s="8">
        <f>WORKDAY(F1280,H1280-1,)</f>
        <v>46493</v>
      </c>
      <c r="H1280" s="6">
        <v>10</v>
      </c>
      <c r="I1280" s="6">
        <v>36</v>
      </c>
    </row>
    <row r="1281" spans="1:9">
      <c r="A1281" s="5" t="s">
        <v>127</v>
      </c>
      <c r="B1281" s="6" t="s">
        <v>10</v>
      </c>
      <c r="C1281" s="7"/>
      <c r="D1281" s="6" t="s">
        <v>13</v>
      </c>
      <c r="E1281" s="6"/>
      <c r="F1281" s="8">
        <f>WORKDAY(G1229,1)</f>
        <v>46482</v>
      </c>
      <c r="G1281" s="8">
        <f t="shared" ref="G1281" si="167">WORKDAY(F1281,H1281-1,)</f>
        <v>46493</v>
      </c>
      <c r="H1281" s="6">
        <v>10</v>
      </c>
      <c r="I1281" s="6">
        <v>1</v>
      </c>
    </row>
    <row r="1282" spans="1:9">
      <c r="A1282" s="5" t="s">
        <v>127</v>
      </c>
      <c r="B1282" s="6" t="s">
        <v>10</v>
      </c>
      <c r="C1282" s="7"/>
      <c r="D1282" s="6" t="s">
        <v>15</v>
      </c>
      <c r="E1282" s="6"/>
      <c r="F1282" s="8">
        <f>WORKDAY(G1229,1)</f>
        <v>46482</v>
      </c>
      <c r="G1282" s="8">
        <f>WORKDAY(F1282,H1282-1,)</f>
        <v>46493</v>
      </c>
      <c r="H1282" s="6">
        <v>10</v>
      </c>
      <c r="I1282" s="6">
        <v>1</v>
      </c>
    </row>
    <row r="1283" spans="1:9">
      <c r="A1283" s="11" t="s">
        <v>127</v>
      </c>
      <c r="B1283" s="11" t="s">
        <v>10</v>
      </c>
      <c r="C1283" s="10"/>
      <c r="D1283" s="11" t="s">
        <v>16</v>
      </c>
      <c r="E1283" s="11"/>
      <c r="F1283" s="12">
        <f>WORKDAY(G1282,-4)</f>
        <v>46489</v>
      </c>
      <c r="G1283" s="12">
        <f t="shared" ref="G1283:G1290" si="168">WORKDAY(F1283,H1283-1,)</f>
        <v>46500</v>
      </c>
      <c r="H1283" s="11">
        <v>10</v>
      </c>
      <c r="I1283" s="11">
        <v>5</v>
      </c>
    </row>
    <row r="1284" spans="1:9">
      <c r="A1284" s="11" t="s">
        <v>127</v>
      </c>
      <c r="B1284" s="11" t="s">
        <v>10</v>
      </c>
      <c r="C1284" s="10"/>
      <c r="D1284" s="11" t="s">
        <v>18</v>
      </c>
      <c r="E1284" s="11"/>
      <c r="F1284" s="12">
        <f>WORKDAY(G1282,-4)</f>
        <v>46489</v>
      </c>
      <c r="G1284" s="12">
        <f t="shared" si="168"/>
        <v>46500</v>
      </c>
      <c r="H1284" s="11">
        <v>10</v>
      </c>
      <c r="I1284" s="13">
        <v>4</v>
      </c>
    </row>
    <row r="1285" spans="1:9">
      <c r="A1285" s="11" t="s">
        <v>127</v>
      </c>
      <c r="B1285" s="11" t="s">
        <v>10</v>
      </c>
      <c r="C1285" s="10"/>
      <c r="D1285" s="11" t="s">
        <v>21</v>
      </c>
      <c r="E1285" s="11"/>
      <c r="F1285" s="12">
        <f>WORKDAY(G1282,-4)</f>
        <v>46489</v>
      </c>
      <c r="G1285" s="12">
        <f t="shared" si="168"/>
        <v>46500</v>
      </c>
      <c r="H1285" s="11">
        <v>10</v>
      </c>
      <c r="I1285" s="11">
        <v>3</v>
      </c>
    </row>
    <row r="1286" spans="1:9">
      <c r="A1286" s="11" t="s">
        <v>127</v>
      </c>
      <c r="B1286" s="11" t="s">
        <v>10</v>
      </c>
      <c r="C1286" s="10"/>
      <c r="D1286" s="11" t="s">
        <v>24</v>
      </c>
      <c r="E1286" s="11"/>
      <c r="F1286" s="12">
        <f>WORKDAY(G1282,-4)</f>
        <v>46489</v>
      </c>
      <c r="G1286" s="12">
        <f t="shared" si="168"/>
        <v>46500</v>
      </c>
      <c r="H1286" s="11">
        <v>10</v>
      </c>
      <c r="I1286" s="11">
        <v>0</v>
      </c>
    </row>
    <row r="1287" spans="1:9">
      <c r="A1287" s="17" t="s">
        <v>127</v>
      </c>
      <c r="B1287" s="17" t="s">
        <v>10</v>
      </c>
      <c r="C1287" s="16"/>
      <c r="D1287" s="17" t="s">
        <v>26</v>
      </c>
      <c r="E1287" s="17"/>
      <c r="F1287" s="18">
        <f>WORKDAY(G1286,-4)</f>
        <v>46496</v>
      </c>
      <c r="G1287" s="18">
        <f t="shared" si="168"/>
        <v>46507</v>
      </c>
      <c r="H1287" s="17">
        <v>10</v>
      </c>
      <c r="I1287" s="17">
        <v>2</v>
      </c>
    </row>
    <row r="1288" spans="1:9">
      <c r="A1288" s="21" t="s">
        <v>127</v>
      </c>
      <c r="B1288" s="21" t="s">
        <v>10</v>
      </c>
      <c r="C1288" s="20"/>
      <c r="D1288" s="21" t="s">
        <v>29</v>
      </c>
      <c r="E1288" s="21"/>
      <c r="F1288" s="22">
        <f>WORKDAY(F1287,5)</f>
        <v>46503</v>
      </c>
      <c r="G1288" s="22">
        <f t="shared" si="168"/>
        <v>46507</v>
      </c>
      <c r="H1288" s="21">
        <v>5</v>
      </c>
      <c r="I1288" s="21">
        <v>4</v>
      </c>
    </row>
    <row r="1289" spans="1:9">
      <c r="A1289" s="21" t="s">
        <v>127</v>
      </c>
      <c r="B1289" s="21" t="s">
        <v>10</v>
      </c>
      <c r="C1289" s="20"/>
      <c r="D1289" s="21" t="s">
        <v>32</v>
      </c>
      <c r="E1289" s="21"/>
      <c r="F1289" s="22">
        <f>WORKDAY(G1287,1)</f>
        <v>46510</v>
      </c>
      <c r="G1289" s="22">
        <f t="shared" si="168"/>
        <v>46514</v>
      </c>
      <c r="H1289" s="21">
        <v>5</v>
      </c>
      <c r="I1289" s="21">
        <v>1</v>
      </c>
    </row>
    <row r="1290" spans="1:9">
      <c r="A1290" s="21" t="s">
        <v>127</v>
      </c>
      <c r="B1290" s="21" t="s">
        <v>10</v>
      </c>
      <c r="C1290" s="20"/>
      <c r="D1290" s="21" t="s">
        <v>34</v>
      </c>
      <c r="E1290" s="21"/>
      <c r="F1290" s="22">
        <f>WORKDAY(G1284,1)</f>
        <v>46503</v>
      </c>
      <c r="G1290" s="22">
        <f t="shared" si="168"/>
        <v>46514</v>
      </c>
      <c r="H1290" s="21">
        <v>10</v>
      </c>
      <c r="I1290" s="21">
        <v>3</v>
      </c>
    </row>
    <row r="1291" spans="1:9">
      <c r="A1291" s="31" t="s">
        <v>127</v>
      </c>
      <c r="B1291" s="31" t="s">
        <v>10</v>
      </c>
      <c r="C1291" s="30"/>
      <c r="D1291" s="31" t="s">
        <v>37</v>
      </c>
      <c r="E1291" s="31"/>
      <c r="F1291" s="32">
        <f>WORKDAY(G1290,1)</f>
        <v>46517</v>
      </c>
      <c r="G1291" s="32">
        <f>WORKDAY(F1291,H1291-1,)</f>
        <v>46528</v>
      </c>
      <c r="H1291" s="31">
        <v>10</v>
      </c>
      <c r="I1291" s="128">
        <v>5</v>
      </c>
    </row>
    <row r="1292" spans="1:9">
      <c r="A1292" s="31" t="s">
        <v>127</v>
      </c>
      <c r="B1292" s="31" t="s">
        <v>10</v>
      </c>
      <c r="C1292" s="30"/>
      <c r="D1292" s="31" t="s">
        <v>40</v>
      </c>
      <c r="E1292" s="31"/>
      <c r="F1292" s="32">
        <f>WORKDAY(G1290,1)</f>
        <v>46517</v>
      </c>
      <c r="G1292" s="32">
        <f t="shared" ref="G1292:G1304" si="169">WORKDAY(F1292,H1292-1,)</f>
        <v>46528</v>
      </c>
      <c r="H1292" s="31">
        <v>10</v>
      </c>
      <c r="I1292" s="128"/>
    </row>
    <row r="1293" spans="1:9">
      <c r="A1293" s="31" t="s">
        <v>127</v>
      </c>
      <c r="B1293" s="31" t="s">
        <v>10</v>
      </c>
      <c r="C1293" s="30"/>
      <c r="D1293" s="31" t="s">
        <v>42</v>
      </c>
      <c r="E1293" s="31"/>
      <c r="F1293" s="32">
        <f>WORKDAY(G1290,1)</f>
        <v>46517</v>
      </c>
      <c r="G1293" s="32">
        <f t="shared" si="169"/>
        <v>46528</v>
      </c>
      <c r="H1293" s="31">
        <v>10</v>
      </c>
      <c r="I1293" s="128"/>
    </row>
    <row r="1294" spans="1:9">
      <c r="A1294" s="31" t="s">
        <v>127</v>
      </c>
      <c r="B1294" s="31" t="s">
        <v>10</v>
      </c>
      <c r="C1294" s="30"/>
      <c r="D1294" s="31" t="s">
        <v>44</v>
      </c>
      <c r="E1294" s="31"/>
      <c r="F1294" s="32">
        <f>WORKDAY(G1290,1)</f>
        <v>46517</v>
      </c>
      <c r="G1294" s="32">
        <f t="shared" si="169"/>
        <v>46528</v>
      </c>
      <c r="H1294" s="31">
        <v>10</v>
      </c>
      <c r="I1294" s="128"/>
    </row>
    <row r="1295" spans="1:9">
      <c r="A1295" s="31" t="s">
        <v>127</v>
      </c>
      <c r="B1295" s="58" t="s">
        <v>10</v>
      </c>
      <c r="C1295" s="34"/>
      <c r="D1295" s="31" t="s">
        <v>45</v>
      </c>
      <c r="E1295" s="31"/>
      <c r="F1295" s="32">
        <f>WORKDAY(G1290,1)</f>
        <v>46517</v>
      </c>
      <c r="G1295" s="32">
        <f t="shared" si="169"/>
        <v>46528</v>
      </c>
      <c r="H1295" s="31">
        <v>10</v>
      </c>
      <c r="I1295" s="31">
        <v>5</v>
      </c>
    </row>
    <row r="1296" spans="1:9">
      <c r="A1296" s="25" t="s">
        <v>127</v>
      </c>
      <c r="B1296" s="26" t="s">
        <v>10</v>
      </c>
      <c r="C1296" s="37"/>
      <c r="D1296" s="26" t="s">
        <v>47</v>
      </c>
      <c r="E1296" s="26"/>
      <c r="F1296" s="27">
        <f>WORKDAY(G1295,-4)</f>
        <v>46524</v>
      </c>
      <c r="G1296" s="28">
        <f t="shared" si="169"/>
        <v>46535</v>
      </c>
      <c r="H1296" s="26">
        <v>10</v>
      </c>
      <c r="I1296" s="26">
        <v>11</v>
      </c>
    </row>
    <row r="1297" spans="1:9">
      <c r="A1297" s="77" t="s">
        <v>127</v>
      </c>
      <c r="B1297" s="42" t="s">
        <v>10</v>
      </c>
      <c r="C1297" s="41"/>
      <c r="D1297" s="42" t="s">
        <v>50</v>
      </c>
      <c r="E1297" s="42"/>
      <c r="F1297" s="43">
        <f>WORKDAY(G1295,1)</f>
        <v>46531</v>
      </c>
      <c r="G1297" s="44">
        <f t="shared" si="169"/>
        <v>46531</v>
      </c>
      <c r="H1297" s="42">
        <v>1</v>
      </c>
      <c r="I1297" s="42">
        <v>0</v>
      </c>
    </row>
    <row r="1298" spans="1:9">
      <c r="A1298" s="21" t="s">
        <v>127</v>
      </c>
      <c r="B1298" s="47" t="s">
        <v>10</v>
      </c>
      <c r="C1298" s="46"/>
      <c r="D1298" s="47" t="s">
        <v>52</v>
      </c>
      <c r="E1298" s="47"/>
      <c r="F1298" s="48">
        <f>WORKDAY(G1296,1)</f>
        <v>46538</v>
      </c>
      <c r="G1298" s="22">
        <f t="shared" si="169"/>
        <v>46549</v>
      </c>
      <c r="H1298" s="47">
        <v>10</v>
      </c>
      <c r="I1298" s="47">
        <v>5</v>
      </c>
    </row>
    <row r="1299" spans="1:9">
      <c r="A1299" s="21" t="s">
        <v>127</v>
      </c>
      <c r="B1299" s="47" t="s">
        <v>10</v>
      </c>
      <c r="C1299" s="46"/>
      <c r="D1299" s="49" t="s">
        <v>55</v>
      </c>
      <c r="E1299" s="49"/>
      <c r="F1299" s="48">
        <f>WORKDAY(G1296,1)</f>
        <v>46538</v>
      </c>
      <c r="G1299" s="22">
        <f t="shared" si="169"/>
        <v>46549</v>
      </c>
      <c r="H1299" s="47">
        <v>10</v>
      </c>
      <c r="I1299" s="47">
        <v>0</v>
      </c>
    </row>
    <row r="1300" spans="1:9">
      <c r="A1300" s="52" t="s">
        <v>127</v>
      </c>
      <c r="B1300" s="52" t="s">
        <v>10</v>
      </c>
      <c r="C1300" s="51"/>
      <c r="D1300" s="52" t="s">
        <v>56</v>
      </c>
      <c r="E1300" s="52"/>
      <c r="F1300" s="53">
        <f t="shared" ref="F1300" si="170">WORKDAY(G1299,1)</f>
        <v>46552</v>
      </c>
      <c r="G1300" s="53">
        <f t="shared" si="169"/>
        <v>46563</v>
      </c>
      <c r="H1300" s="52">
        <v>10</v>
      </c>
      <c r="I1300" s="52">
        <v>7</v>
      </c>
    </row>
    <row r="1301" spans="1:9">
      <c r="A1301" s="52" t="s">
        <v>127</v>
      </c>
      <c r="B1301" s="52" t="s">
        <v>10</v>
      </c>
      <c r="C1301" s="51"/>
      <c r="D1301" s="52" t="s">
        <v>59</v>
      </c>
      <c r="E1301" s="52"/>
      <c r="F1301" s="53">
        <f>WORKDAY(G1299,1)</f>
        <v>46552</v>
      </c>
      <c r="G1301" s="53">
        <f t="shared" si="169"/>
        <v>46552</v>
      </c>
      <c r="H1301" s="52">
        <v>1</v>
      </c>
      <c r="I1301" s="52">
        <v>5</v>
      </c>
    </row>
    <row r="1302" spans="1:9">
      <c r="A1302" s="124" t="s">
        <v>127</v>
      </c>
      <c r="B1302" s="56" t="s">
        <v>10</v>
      </c>
      <c r="C1302" s="55"/>
      <c r="D1302" s="56" t="s">
        <v>62</v>
      </c>
      <c r="E1302" s="56"/>
      <c r="F1302" s="57">
        <f>WORKDAY(G1300,-4)</f>
        <v>46559</v>
      </c>
      <c r="G1302" s="57">
        <f t="shared" si="169"/>
        <v>46570</v>
      </c>
      <c r="H1302" s="56">
        <v>10</v>
      </c>
      <c r="I1302" s="56">
        <v>10</v>
      </c>
    </row>
    <row r="1303" spans="1:9">
      <c r="A1303" s="124" t="s">
        <v>127</v>
      </c>
      <c r="B1303" s="56" t="s">
        <v>10</v>
      </c>
      <c r="C1303" s="55"/>
      <c r="D1303" s="56" t="s">
        <v>64</v>
      </c>
      <c r="E1303" s="56"/>
      <c r="F1303" s="57">
        <f>WORKDAY(F1302,1)</f>
        <v>46560</v>
      </c>
      <c r="G1303" s="57">
        <f t="shared" si="169"/>
        <v>46570</v>
      </c>
      <c r="H1303" s="56">
        <v>9</v>
      </c>
      <c r="I1303" s="56">
        <v>0</v>
      </c>
    </row>
    <row r="1304" spans="1:9">
      <c r="A1304" s="31" t="s">
        <v>127</v>
      </c>
      <c r="B1304" s="58" t="s">
        <v>10</v>
      </c>
      <c r="C1304" s="34"/>
      <c r="D1304" s="58" t="s">
        <v>65</v>
      </c>
      <c r="E1304" s="58"/>
      <c r="F1304" s="59">
        <f>WORKDAY(G1302,1)</f>
        <v>46573</v>
      </c>
      <c r="G1304" s="32">
        <f t="shared" si="169"/>
        <v>46584</v>
      </c>
      <c r="H1304" s="58">
        <v>10</v>
      </c>
      <c r="I1304" s="58">
        <v>4</v>
      </c>
    </row>
    <row r="1305" spans="1:9">
      <c r="A1305" s="107" t="s">
        <v>127</v>
      </c>
      <c r="B1305" s="121" t="s">
        <v>10</v>
      </c>
      <c r="C1305" s="63"/>
      <c r="D1305" s="64" t="s">
        <v>68</v>
      </c>
      <c r="E1305" s="64"/>
      <c r="F1305" s="65">
        <f>WORKDAY(G1304,1)</f>
        <v>46587</v>
      </c>
      <c r="G1305" s="65">
        <f>WORKDAY(F1305,H1305-1,)</f>
        <v>46598</v>
      </c>
      <c r="H1305" s="64">
        <v>10</v>
      </c>
      <c r="I1305" s="130">
        <v>4</v>
      </c>
    </row>
    <row r="1306" spans="1:9">
      <c r="A1306" s="107" t="s">
        <v>127</v>
      </c>
      <c r="B1306" s="121" t="s">
        <v>10</v>
      </c>
      <c r="C1306" s="63"/>
      <c r="D1306" s="64" t="s">
        <v>71</v>
      </c>
      <c r="E1306" s="64"/>
      <c r="F1306" s="65">
        <f>WORKDAY(G1304,1)</f>
        <v>46587</v>
      </c>
      <c r="G1306" s="65">
        <f t="shared" ref="G1306:G1308" si="171">WORKDAY(F1305,H1305-1,)</f>
        <v>46598</v>
      </c>
      <c r="H1306" s="64">
        <v>10</v>
      </c>
      <c r="I1306" s="130"/>
    </row>
    <row r="1307" spans="1:9">
      <c r="A1307" s="107" t="s">
        <v>127</v>
      </c>
      <c r="B1307" s="121" t="s">
        <v>10</v>
      </c>
      <c r="C1307" s="63"/>
      <c r="D1307" s="64" t="s">
        <v>72</v>
      </c>
      <c r="E1307" s="64"/>
      <c r="F1307" s="65">
        <f>WORKDAY(G1304,1)</f>
        <v>46587</v>
      </c>
      <c r="G1307" s="65">
        <f t="shared" si="171"/>
        <v>46598</v>
      </c>
      <c r="H1307" s="64">
        <v>10</v>
      </c>
      <c r="I1307" s="130"/>
    </row>
    <row r="1308" spans="1:9">
      <c r="A1308" s="107" t="s">
        <v>127</v>
      </c>
      <c r="B1308" s="121" t="s">
        <v>10</v>
      </c>
      <c r="C1308" s="63"/>
      <c r="D1308" s="64" t="s">
        <v>73</v>
      </c>
      <c r="E1308" s="64"/>
      <c r="F1308" s="65">
        <f>WORKDAY(G1304,1)</f>
        <v>46587</v>
      </c>
      <c r="G1308" s="65">
        <f t="shared" si="171"/>
        <v>46598</v>
      </c>
      <c r="H1308" s="64">
        <v>10</v>
      </c>
      <c r="I1308" s="130"/>
    </row>
    <row r="1309" spans="1:9">
      <c r="A1309" s="107" t="s">
        <v>127</v>
      </c>
      <c r="B1309" s="121" t="s">
        <v>10</v>
      </c>
      <c r="C1309" s="63"/>
      <c r="D1309" s="64" t="s">
        <v>74</v>
      </c>
      <c r="E1309" s="64"/>
      <c r="F1309" s="65">
        <f>WORKDAY(G1304,1)</f>
        <v>46587</v>
      </c>
      <c r="G1309" s="66">
        <f>WORKDAY(F1309,H1309-1,)</f>
        <v>46598</v>
      </c>
      <c r="H1309" s="64">
        <v>10</v>
      </c>
      <c r="I1309" s="64">
        <v>6</v>
      </c>
    </row>
    <row r="1310" spans="1:9">
      <c r="A1310" s="107" t="s">
        <v>127</v>
      </c>
      <c r="B1310" s="121" t="s">
        <v>10</v>
      </c>
      <c r="C1310" s="63"/>
      <c r="D1310" s="64" t="s">
        <v>77</v>
      </c>
      <c r="E1310" s="64"/>
      <c r="F1310" s="65">
        <f>WORKDAY(G1304,1)</f>
        <v>46587</v>
      </c>
      <c r="G1310" s="66">
        <f t="shared" ref="G1310:G1332" si="172">WORKDAY(F1310,H1310-1,)</f>
        <v>46598</v>
      </c>
      <c r="H1310" s="64">
        <v>10</v>
      </c>
      <c r="I1310" s="64">
        <v>1</v>
      </c>
    </row>
    <row r="1311" spans="1:9">
      <c r="A1311" s="107" t="s">
        <v>127</v>
      </c>
      <c r="B1311" s="121" t="s">
        <v>10</v>
      </c>
      <c r="C1311" s="63"/>
      <c r="D1311" s="64" t="s">
        <v>80</v>
      </c>
      <c r="E1311" s="64"/>
      <c r="F1311" s="65">
        <f>WORKDAY(G1304,1)</f>
        <v>46587</v>
      </c>
      <c r="G1311" s="66">
        <f t="shared" si="172"/>
        <v>46598</v>
      </c>
      <c r="H1311" s="64">
        <v>10</v>
      </c>
      <c r="I1311" s="64">
        <v>0</v>
      </c>
    </row>
    <row r="1312" spans="1:9">
      <c r="A1312" s="107" t="s">
        <v>127</v>
      </c>
      <c r="B1312" s="121" t="s">
        <v>10</v>
      </c>
      <c r="C1312" s="63"/>
      <c r="D1312" s="64" t="s">
        <v>81</v>
      </c>
      <c r="E1312" s="64"/>
      <c r="F1312" s="65">
        <f>WORKDAY(G1304,1)</f>
        <v>46587</v>
      </c>
      <c r="G1312" s="66">
        <f t="shared" si="172"/>
        <v>46598</v>
      </c>
      <c r="H1312" s="64">
        <v>10</v>
      </c>
      <c r="I1312" s="64">
        <v>4</v>
      </c>
    </row>
    <row r="1313" spans="1:9">
      <c r="A1313" s="70" t="s">
        <v>127</v>
      </c>
      <c r="B1313" s="70" t="s">
        <v>10</v>
      </c>
      <c r="C1313" s="69"/>
      <c r="D1313" s="70" t="s">
        <v>82</v>
      </c>
      <c r="E1313" s="70"/>
      <c r="F1313" s="71">
        <f t="shared" ref="F1313" si="173">WORKDAY(G1312,1)</f>
        <v>46601</v>
      </c>
      <c r="G1313" s="71">
        <f t="shared" si="172"/>
        <v>46612</v>
      </c>
      <c r="H1313" s="70">
        <v>10</v>
      </c>
      <c r="I1313" s="70">
        <v>4</v>
      </c>
    </row>
    <row r="1314" spans="1:9">
      <c r="A1314" s="77" t="s">
        <v>127</v>
      </c>
      <c r="B1314" s="75" t="s">
        <v>10</v>
      </c>
      <c r="C1314" s="74"/>
      <c r="D1314" s="75" t="s">
        <v>85</v>
      </c>
      <c r="E1314" s="75"/>
      <c r="F1314" s="76">
        <f>WORKDAY(G1313,-1)</f>
        <v>46611</v>
      </c>
      <c r="G1314" s="44">
        <f t="shared" si="172"/>
        <v>46615</v>
      </c>
      <c r="H1314" s="75">
        <v>3</v>
      </c>
      <c r="I1314" s="75">
        <v>12</v>
      </c>
    </row>
    <row r="1315" spans="1:9">
      <c r="A1315" s="77" t="s">
        <v>127</v>
      </c>
      <c r="B1315" s="75" t="s">
        <v>10</v>
      </c>
      <c r="C1315" s="74"/>
      <c r="D1315" s="75" t="s">
        <v>86</v>
      </c>
      <c r="E1315" s="75"/>
      <c r="F1315" s="76">
        <f>WORKDAY(G1313,1)</f>
        <v>46615</v>
      </c>
      <c r="G1315" s="44">
        <f t="shared" si="172"/>
        <v>46626</v>
      </c>
      <c r="H1315" s="75">
        <v>10</v>
      </c>
      <c r="I1315" s="75">
        <v>0</v>
      </c>
    </row>
    <row r="1316" spans="1:9">
      <c r="A1316" s="78" t="s">
        <v>127</v>
      </c>
      <c r="B1316" s="79" t="s">
        <v>10</v>
      </c>
      <c r="C1316" s="80"/>
      <c r="D1316" s="79" t="s">
        <v>87</v>
      </c>
      <c r="E1316" s="79"/>
      <c r="F1316" s="81">
        <f>WORKDAY(F1314,4)</f>
        <v>46617</v>
      </c>
      <c r="G1316" s="82">
        <f t="shared" si="172"/>
        <v>46630</v>
      </c>
      <c r="H1316" s="79">
        <v>10</v>
      </c>
      <c r="I1316" s="79">
        <v>4</v>
      </c>
    </row>
    <row r="1317" spans="1:9">
      <c r="A1317" s="83" t="s">
        <v>127</v>
      </c>
      <c r="B1317" s="83" t="s">
        <v>10</v>
      </c>
      <c r="C1317" s="84"/>
      <c r="D1317" s="83" t="s">
        <v>89</v>
      </c>
      <c r="E1317" s="83"/>
      <c r="F1317" s="85">
        <f>WORKDAY(F1316,3)</f>
        <v>46622</v>
      </c>
      <c r="G1317" s="85">
        <f t="shared" si="172"/>
        <v>46633</v>
      </c>
      <c r="H1317" s="83">
        <v>10</v>
      </c>
      <c r="I1317" s="127">
        <v>1</v>
      </c>
    </row>
    <row r="1318" spans="1:9">
      <c r="A1318" s="83" t="s">
        <v>127</v>
      </c>
      <c r="B1318" s="83" t="s">
        <v>10</v>
      </c>
      <c r="C1318" s="84"/>
      <c r="D1318" s="83" t="s">
        <v>91</v>
      </c>
      <c r="E1318" s="83"/>
      <c r="F1318" s="85">
        <f>WORKDAY(F1316,3)</f>
        <v>46622</v>
      </c>
      <c r="G1318" s="85">
        <f t="shared" si="172"/>
        <v>46633</v>
      </c>
      <c r="H1318" s="83">
        <v>10</v>
      </c>
      <c r="I1318" s="127"/>
    </row>
    <row r="1319" spans="1:9">
      <c r="A1319" s="83" t="s">
        <v>127</v>
      </c>
      <c r="B1319" s="83" t="s">
        <v>10</v>
      </c>
      <c r="C1319" s="84"/>
      <c r="D1319" s="83" t="s">
        <v>92</v>
      </c>
      <c r="E1319" s="83"/>
      <c r="F1319" s="85">
        <f>WORKDAY(F1316,3)</f>
        <v>46622</v>
      </c>
      <c r="G1319" s="85">
        <f t="shared" si="172"/>
        <v>46633</v>
      </c>
      <c r="H1319" s="83">
        <v>10</v>
      </c>
      <c r="I1319" s="127"/>
    </row>
    <row r="1320" spans="1:9">
      <c r="A1320" s="83" t="s">
        <v>127</v>
      </c>
      <c r="B1320" s="83" t="s">
        <v>10</v>
      </c>
      <c r="C1320" s="84"/>
      <c r="D1320" s="83" t="s">
        <v>93</v>
      </c>
      <c r="E1320" s="83"/>
      <c r="F1320" s="85">
        <f>WORKDAY(F1316,3)</f>
        <v>46622</v>
      </c>
      <c r="G1320" s="85">
        <f t="shared" si="172"/>
        <v>46633</v>
      </c>
      <c r="H1320" s="83">
        <v>10</v>
      </c>
      <c r="I1320" s="127"/>
    </row>
    <row r="1321" spans="1:9">
      <c r="A1321" s="83" t="s">
        <v>127</v>
      </c>
      <c r="B1321" s="83" t="s">
        <v>10</v>
      </c>
      <c r="C1321" s="84"/>
      <c r="D1321" s="83" t="s">
        <v>94</v>
      </c>
      <c r="E1321" s="83"/>
      <c r="F1321" s="85">
        <f>WORKDAY(F1316,3)</f>
        <v>46622</v>
      </c>
      <c r="G1321" s="85">
        <f t="shared" si="172"/>
        <v>46633</v>
      </c>
      <c r="H1321" s="83">
        <v>10</v>
      </c>
      <c r="I1321" s="83">
        <v>1</v>
      </c>
    </row>
    <row r="1322" spans="1:9">
      <c r="A1322" s="86" t="s">
        <v>127</v>
      </c>
      <c r="B1322" s="86" t="s">
        <v>10</v>
      </c>
      <c r="C1322" s="87"/>
      <c r="D1322" s="86" t="s">
        <v>95</v>
      </c>
      <c r="E1322" s="86"/>
      <c r="F1322" s="88">
        <f>WORKDAY(F1321,3)</f>
        <v>46625</v>
      </c>
      <c r="G1322" s="88">
        <f t="shared" si="172"/>
        <v>46633</v>
      </c>
      <c r="H1322" s="86">
        <v>7</v>
      </c>
      <c r="I1322" s="86">
        <v>0</v>
      </c>
    </row>
    <row r="1323" spans="1:9">
      <c r="A1323" s="89" t="s">
        <v>127</v>
      </c>
      <c r="B1323" s="89" t="s">
        <v>10</v>
      </c>
      <c r="C1323" s="90"/>
      <c r="D1323" s="89" t="s">
        <v>96</v>
      </c>
      <c r="E1323" s="89"/>
      <c r="F1323" s="91">
        <f>WORKDAY(F1322,2)</f>
        <v>46629</v>
      </c>
      <c r="G1323" s="91">
        <f t="shared" si="172"/>
        <v>46640</v>
      </c>
      <c r="H1323" s="89">
        <v>10</v>
      </c>
      <c r="I1323" s="89">
        <v>2</v>
      </c>
    </row>
    <row r="1324" spans="1:9">
      <c r="A1324" s="89" t="s">
        <v>127</v>
      </c>
      <c r="B1324" s="89" t="s">
        <v>10</v>
      </c>
      <c r="C1324" s="90"/>
      <c r="D1324" s="89" t="s">
        <v>98</v>
      </c>
      <c r="E1324" s="89"/>
      <c r="F1324" s="91">
        <f>WORKDAY(F1322,2)</f>
        <v>46629</v>
      </c>
      <c r="G1324" s="91">
        <f t="shared" si="172"/>
        <v>46640</v>
      </c>
      <c r="H1324" s="89">
        <v>10</v>
      </c>
      <c r="I1324" s="89">
        <v>9</v>
      </c>
    </row>
    <row r="1325" spans="1:9">
      <c r="A1325" s="89" t="s">
        <v>127</v>
      </c>
      <c r="B1325" s="89" t="s">
        <v>10</v>
      </c>
      <c r="C1325" s="90"/>
      <c r="D1325" s="89" t="s">
        <v>101</v>
      </c>
      <c r="E1325" s="89"/>
      <c r="F1325" s="91">
        <f>WORKDAY(F1322,2)</f>
        <v>46629</v>
      </c>
      <c r="G1325" s="91">
        <f t="shared" si="172"/>
        <v>46640</v>
      </c>
      <c r="H1325" s="89">
        <v>10</v>
      </c>
      <c r="I1325" s="89">
        <v>0</v>
      </c>
    </row>
    <row r="1326" spans="1:9">
      <c r="A1326" s="38" t="s">
        <v>127</v>
      </c>
      <c r="B1326" s="38" t="s">
        <v>10</v>
      </c>
      <c r="C1326" s="92"/>
      <c r="D1326" s="38" t="s">
        <v>103</v>
      </c>
      <c r="E1326" s="38"/>
      <c r="F1326" s="93">
        <f>WORKDAY(G1324,-4)</f>
        <v>46636</v>
      </c>
      <c r="G1326" s="93">
        <f t="shared" si="172"/>
        <v>46638</v>
      </c>
      <c r="H1326" s="38">
        <v>3</v>
      </c>
      <c r="I1326" s="38">
        <v>0</v>
      </c>
    </row>
    <row r="1327" spans="1:9">
      <c r="A1327" s="38" t="s">
        <v>127</v>
      </c>
      <c r="B1327" s="38" t="s">
        <v>10</v>
      </c>
      <c r="C1327" s="92"/>
      <c r="D1327" s="38" t="s">
        <v>106</v>
      </c>
      <c r="E1327" s="38"/>
      <c r="F1327" s="93">
        <f>WORKDAY(G1324,-4)</f>
        <v>46636</v>
      </c>
      <c r="G1327" s="93">
        <f t="shared" si="172"/>
        <v>46647</v>
      </c>
      <c r="H1327" s="38">
        <v>10</v>
      </c>
      <c r="I1327" s="38">
        <v>10</v>
      </c>
    </row>
    <row r="1328" spans="1:9">
      <c r="A1328" s="38" t="s">
        <v>127</v>
      </c>
      <c r="B1328" s="38" t="s">
        <v>10</v>
      </c>
      <c r="C1328" s="92"/>
      <c r="D1328" s="38" t="s">
        <v>108</v>
      </c>
      <c r="E1328" s="38"/>
      <c r="F1328" s="93">
        <f>WORKDAY(G1324,-4)</f>
        <v>46636</v>
      </c>
      <c r="G1328" s="93">
        <f t="shared" si="172"/>
        <v>46647</v>
      </c>
      <c r="H1328" s="38">
        <v>10</v>
      </c>
      <c r="I1328" s="38">
        <v>6</v>
      </c>
    </row>
    <row r="1329" spans="1:9">
      <c r="A1329" s="94" t="s">
        <v>127</v>
      </c>
      <c r="B1329" s="94" t="s">
        <v>10</v>
      </c>
      <c r="C1329" s="95"/>
      <c r="D1329" s="96" t="s">
        <v>109</v>
      </c>
      <c r="E1329" s="96"/>
      <c r="F1329" s="97">
        <f>WORKDAY(G1324,1)</f>
        <v>46643</v>
      </c>
      <c r="G1329" s="97">
        <f t="shared" si="172"/>
        <v>46654</v>
      </c>
      <c r="H1329" s="94">
        <v>10</v>
      </c>
      <c r="I1329" s="94">
        <v>0</v>
      </c>
    </row>
    <row r="1330" spans="1:9">
      <c r="A1330" s="94" t="s">
        <v>127</v>
      </c>
      <c r="B1330" s="94" t="s">
        <v>10</v>
      </c>
      <c r="C1330" s="95"/>
      <c r="D1330" s="96" t="s">
        <v>112</v>
      </c>
      <c r="E1330" s="96"/>
      <c r="F1330" s="97">
        <f>WORKDAY(G1324,1)</f>
        <v>46643</v>
      </c>
      <c r="G1330" s="97">
        <f t="shared" si="172"/>
        <v>46654</v>
      </c>
      <c r="H1330" s="94">
        <v>10</v>
      </c>
      <c r="I1330" s="94">
        <v>0</v>
      </c>
    </row>
    <row r="1331" spans="1:9">
      <c r="A1331" s="77" t="s">
        <v>127</v>
      </c>
      <c r="B1331" s="77" t="s">
        <v>10</v>
      </c>
      <c r="C1331" s="98"/>
      <c r="D1331" s="77" t="s">
        <v>113</v>
      </c>
      <c r="E1331" s="77"/>
      <c r="F1331" s="44">
        <f>WORKDAY(G1329,-4)</f>
        <v>46650</v>
      </c>
      <c r="G1331" s="44">
        <f t="shared" si="172"/>
        <v>46654</v>
      </c>
      <c r="H1331" s="77">
        <v>5</v>
      </c>
      <c r="I1331" s="77">
        <v>1</v>
      </c>
    </row>
    <row r="1332" spans="1:9">
      <c r="A1332" s="77" t="s">
        <v>127</v>
      </c>
      <c r="B1332" s="77" t="s">
        <v>10</v>
      </c>
      <c r="C1332" s="98"/>
      <c r="D1332" s="77" t="s">
        <v>116</v>
      </c>
      <c r="E1332" s="77"/>
      <c r="F1332" s="44">
        <f>WORKDAY(G1329,-4)</f>
        <v>46650</v>
      </c>
      <c r="G1332" s="44">
        <f t="shared" si="172"/>
        <v>46654</v>
      </c>
      <c r="H1332" s="77">
        <v>5</v>
      </c>
      <c r="I1332" s="77">
        <v>0</v>
      </c>
    </row>
    <row r="1333" spans="1:9">
      <c r="A1333" s="5" t="s">
        <v>127</v>
      </c>
      <c r="B1333" s="99" t="s">
        <v>117</v>
      </c>
      <c r="C1333" s="100"/>
      <c r="D1333" s="6" t="s">
        <v>11</v>
      </c>
      <c r="E1333" s="6"/>
      <c r="F1333" s="8">
        <f>WORKDAY(G1282,1)</f>
        <v>46496</v>
      </c>
      <c r="G1333" s="8">
        <f>WORKDAY(F1333,H1333-1,)</f>
        <v>46507</v>
      </c>
      <c r="H1333" s="6">
        <v>10</v>
      </c>
      <c r="I1333" s="6">
        <v>36</v>
      </c>
    </row>
    <row r="1334" spans="1:9">
      <c r="A1334" s="5" t="s">
        <v>127</v>
      </c>
      <c r="B1334" s="99" t="s">
        <v>117</v>
      </c>
      <c r="C1334" s="100"/>
      <c r="D1334" s="6" t="s">
        <v>13</v>
      </c>
      <c r="E1334" s="6"/>
      <c r="F1334" s="8">
        <f>WORKDAY(G1282,1)</f>
        <v>46496</v>
      </c>
      <c r="G1334" s="8">
        <f t="shared" ref="G1334" si="174">WORKDAY(F1334,H1334-1,)</f>
        <v>46507</v>
      </c>
      <c r="H1334" s="6">
        <v>10</v>
      </c>
      <c r="I1334" s="6">
        <v>1</v>
      </c>
    </row>
    <row r="1335" spans="1:9">
      <c r="A1335" s="5" t="s">
        <v>127</v>
      </c>
      <c r="B1335" s="99" t="s">
        <v>117</v>
      </c>
      <c r="C1335" s="100"/>
      <c r="D1335" s="6" t="s">
        <v>15</v>
      </c>
      <c r="E1335" s="6"/>
      <c r="F1335" s="8">
        <f>WORKDAY(G1282,1)</f>
        <v>46496</v>
      </c>
      <c r="G1335" s="8">
        <f>WORKDAY(F1335,H1335-1,)</f>
        <v>46507</v>
      </c>
      <c r="H1335" s="6">
        <v>10</v>
      </c>
      <c r="I1335" s="6">
        <v>1</v>
      </c>
    </row>
    <row r="1336" spans="1:9">
      <c r="A1336" s="11" t="s">
        <v>127</v>
      </c>
      <c r="B1336" s="101" t="s">
        <v>117</v>
      </c>
      <c r="C1336" s="102"/>
      <c r="D1336" s="11" t="s">
        <v>16</v>
      </c>
      <c r="E1336" s="11"/>
      <c r="F1336" s="12">
        <f>WORKDAY(G1335,-4)</f>
        <v>46503</v>
      </c>
      <c r="G1336" s="12">
        <f t="shared" ref="G1336:G1343" si="175">WORKDAY(F1336,H1336-1,)</f>
        <v>46514</v>
      </c>
      <c r="H1336" s="11">
        <v>10</v>
      </c>
      <c r="I1336" s="11">
        <v>5</v>
      </c>
    </row>
    <row r="1337" spans="1:9">
      <c r="A1337" s="11" t="s">
        <v>127</v>
      </c>
      <c r="B1337" s="101" t="s">
        <v>117</v>
      </c>
      <c r="C1337" s="102"/>
      <c r="D1337" s="11" t="s">
        <v>18</v>
      </c>
      <c r="E1337" s="11"/>
      <c r="F1337" s="12">
        <f>WORKDAY(G1335,-4)</f>
        <v>46503</v>
      </c>
      <c r="G1337" s="12">
        <f t="shared" si="175"/>
        <v>46514</v>
      </c>
      <c r="H1337" s="11">
        <v>10</v>
      </c>
      <c r="I1337" s="13">
        <v>4</v>
      </c>
    </row>
    <row r="1338" spans="1:9">
      <c r="A1338" s="11" t="s">
        <v>127</v>
      </c>
      <c r="B1338" s="101" t="s">
        <v>117</v>
      </c>
      <c r="C1338" s="102"/>
      <c r="D1338" s="11" t="s">
        <v>21</v>
      </c>
      <c r="E1338" s="11"/>
      <c r="F1338" s="12">
        <f>WORKDAY(G1335,-4)</f>
        <v>46503</v>
      </c>
      <c r="G1338" s="12">
        <f t="shared" si="175"/>
        <v>46514</v>
      </c>
      <c r="H1338" s="11">
        <v>10</v>
      </c>
      <c r="I1338" s="11">
        <v>3</v>
      </c>
    </row>
    <row r="1339" spans="1:9">
      <c r="A1339" s="11" t="s">
        <v>127</v>
      </c>
      <c r="B1339" s="101" t="s">
        <v>117</v>
      </c>
      <c r="C1339" s="102"/>
      <c r="D1339" s="11" t="s">
        <v>24</v>
      </c>
      <c r="E1339" s="11"/>
      <c r="F1339" s="12">
        <f>WORKDAY(G1335,-4)</f>
        <v>46503</v>
      </c>
      <c r="G1339" s="12">
        <f t="shared" si="175"/>
        <v>46514</v>
      </c>
      <c r="H1339" s="11">
        <v>10</v>
      </c>
      <c r="I1339" s="11">
        <v>0</v>
      </c>
    </row>
    <row r="1340" spans="1:9">
      <c r="A1340" s="17" t="s">
        <v>127</v>
      </c>
      <c r="B1340" s="103" t="s">
        <v>117</v>
      </c>
      <c r="C1340" s="104"/>
      <c r="D1340" s="17" t="s">
        <v>26</v>
      </c>
      <c r="E1340" s="17"/>
      <c r="F1340" s="18">
        <f>WORKDAY(G1339,-4)</f>
        <v>46510</v>
      </c>
      <c r="G1340" s="18">
        <f t="shared" si="175"/>
        <v>46521</v>
      </c>
      <c r="H1340" s="17">
        <v>10</v>
      </c>
      <c r="I1340" s="17">
        <v>2</v>
      </c>
    </row>
    <row r="1341" spans="1:9">
      <c r="A1341" s="21" t="s">
        <v>127</v>
      </c>
      <c r="B1341" s="21" t="s">
        <v>117</v>
      </c>
      <c r="C1341" s="20"/>
      <c r="D1341" s="21" t="s">
        <v>29</v>
      </c>
      <c r="E1341" s="21"/>
      <c r="F1341" s="22">
        <f>WORKDAY(F1340,5)</f>
        <v>46517</v>
      </c>
      <c r="G1341" s="22">
        <f t="shared" si="175"/>
        <v>46521</v>
      </c>
      <c r="H1341" s="21">
        <v>5</v>
      </c>
      <c r="I1341" s="21">
        <v>4</v>
      </c>
    </row>
    <row r="1342" spans="1:9">
      <c r="A1342" s="21" t="s">
        <v>127</v>
      </c>
      <c r="B1342" s="21" t="s">
        <v>117</v>
      </c>
      <c r="C1342" s="20"/>
      <c r="D1342" s="21" t="s">
        <v>32</v>
      </c>
      <c r="E1342" s="21"/>
      <c r="F1342" s="22">
        <f>WORKDAY(G1340,1)</f>
        <v>46524</v>
      </c>
      <c r="G1342" s="22">
        <f t="shared" si="175"/>
        <v>46528</v>
      </c>
      <c r="H1342" s="21">
        <v>5</v>
      </c>
      <c r="I1342" s="21">
        <v>1</v>
      </c>
    </row>
    <row r="1343" spans="1:9">
      <c r="A1343" s="21" t="s">
        <v>127</v>
      </c>
      <c r="B1343" s="21" t="s">
        <v>117</v>
      </c>
      <c r="C1343" s="20"/>
      <c r="D1343" s="21" t="s">
        <v>34</v>
      </c>
      <c r="E1343" s="21"/>
      <c r="F1343" s="22">
        <f>WORKDAY(G1337,1)</f>
        <v>46517</v>
      </c>
      <c r="G1343" s="22">
        <f t="shared" si="175"/>
        <v>46528</v>
      </c>
      <c r="H1343" s="21">
        <v>10</v>
      </c>
      <c r="I1343" s="21">
        <v>3</v>
      </c>
    </row>
    <row r="1344" spans="1:9">
      <c r="A1344" s="31" t="s">
        <v>127</v>
      </c>
      <c r="B1344" s="31" t="s">
        <v>117</v>
      </c>
      <c r="C1344" s="30"/>
      <c r="D1344" s="31" t="s">
        <v>37</v>
      </c>
      <c r="E1344" s="31"/>
      <c r="F1344" s="32">
        <f>WORKDAY(G1343,1)</f>
        <v>46531</v>
      </c>
      <c r="G1344" s="32">
        <f>WORKDAY(F1344,H1344-1,)</f>
        <v>46542</v>
      </c>
      <c r="H1344" s="31">
        <v>10</v>
      </c>
      <c r="I1344" s="128">
        <v>5</v>
      </c>
    </row>
    <row r="1345" spans="1:9">
      <c r="A1345" s="31" t="s">
        <v>127</v>
      </c>
      <c r="B1345" s="31" t="s">
        <v>117</v>
      </c>
      <c r="C1345" s="30"/>
      <c r="D1345" s="31" t="s">
        <v>40</v>
      </c>
      <c r="E1345" s="31"/>
      <c r="F1345" s="32">
        <f>WORKDAY(G1343,1)</f>
        <v>46531</v>
      </c>
      <c r="G1345" s="32">
        <f t="shared" ref="G1345:G1357" si="176">WORKDAY(F1345,H1345-1,)</f>
        <v>46542</v>
      </c>
      <c r="H1345" s="31">
        <v>10</v>
      </c>
      <c r="I1345" s="128"/>
    </row>
    <row r="1346" spans="1:9">
      <c r="A1346" s="31" t="s">
        <v>127</v>
      </c>
      <c r="B1346" s="31" t="s">
        <v>117</v>
      </c>
      <c r="C1346" s="30"/>
      <c r="D1346" s="31" t="s">
        <v>42</v>
      </c>
      <c r="E1346" s="31"/>
      <c r="F1346" s="32">
        <f>WORKDAY(G1343,1)</f>
        <v>46531</v>
      </c>
      <c r="G1346" s="32">
        <f t="shared" si="176"/>
        <v>46542</v>
      </c>
      <c r="H1346" s="31">
        <v>10</v>
      </c>
      <c r="I1346" s="128"/>
    </row>
    <row r="1347" spans="1:9">
      <c r="A1347" s="31" t="s">
        <v>127</v>
      </c>
      <c r="B1347" s="31" t="s">
        <v>117</v>
      </c>
      <c r="C1347" s="30"/>
      <c r="D1347" s="31" t="s">
        <v>44</v>
      </c>
      <c r="E1347" s="31"/>
      <c r="F1347" s="32">
        <f>WORKDAY(G1343,1)</f>
        <v>46531</v>
      </c>
      <c r="G1347" s="32">
        <f t="shared" si="176"/>
        <v>46542</v>
      </c>
      <c r="H1347" s="31">
        <v>10</v>
      </c>
      <c r="I1347" s="128"/>
    </row>
    <row r="1348" spans="1:9">
      <c r="A1348" s="31" t="s">
        <v>127</v>
      </c>
      <c r="B1348" s="31" t="s">
        <v>117</v>
      </c>
      <c r="C1348" s="30"/>
      <c r="D1348" s="31" t="s">
        <v>45</v>
      </c>
      <c r="E1348" s="31"/>
      <c r="F1348" s="32">
        <f>WORKDAY(G1343,1)</f>
        <v>46531</v>
      </c>
      <c r="G1348" s="32">
        <f t="shared" si="176"/>
        <v>46542</v>
      </c>
      <c r="H1348" s="31">
        <v>10</v>
      </c>
      <c r="I1348" s="31">
        <v>5</v>
      </c>
    </row>
    <row r="1349" spans="1:9">
      <c r="A1349" s="25" t="s">
        <v>127</v>
      </c>
      <c r="B1349" s="25" t="s">
        <v>117</v>
      </c>
      <c r="C1349" s="105"/>
      <c r="D1349" s="26" t="s">
        <v>47</v>
      </c>
      <c r="E1349" s="26"/>
      <c r="F1349" s="27">
        <f>WORKDAY(G1348,-4)</f>
        <v>46538</v>
      </c>
      <c r="G1349" s="28">
        <f t="shared" si="176"/>
        <v>46549</v>
      </c>
      <c r="H1349" s="26">
        <v>10</v>
      </c>
      <c r="I1349" s="26">
        <v>11</v>
      </c>
    </row>
    <row r="1350" spans="1:9">
      <c r="A1350" s="77" t="s">
        <v>127</v>
      </c>
      <c r="B1350" s="77" t="s">
        <v>117</v>
      </c>
      <c r="C1350" s="98"/>
      <c r="D1350" s="42" t="s">
        <v>50</v>
      </c>
      <c r="E1350" s="42"/>
      <c r="F1350" s="43">
        <f>WORKDAY(G1348,1)</f>
        <v>46545</v>
      </c>
      <c r="G1350" s="44">
        <f t="shared" si="176"/>
        <v>46545</v>
      </c>
      <c r="H1350" s="42">
        <v>1</v>
      </c>
      <c r="I1350" s="42">
        <v>0</v>
      </c>
    </row>
    <row r="1351" spans="1:9">
      <c r="A1351" s="21" t="s">
        <v>127</v>
      </c>
      <c r="B1351" s="21" t="s">
        <v>117</v>
      </c>
      <c r="C1351" s="20"/>
      <c r="D1351" s="47" t="s">
        <v>52</v>
      </c>
      <c r="E1351" s="47"/>
      <c r="F1351" s="48">
        <f>WORKDAY(G1349,1)</f>
        <v>46552</v>
      </c>
      <c r="G1351" s="22">
        <f t="shared" si="176"/>
        <v>46563</v>
      </c>
      <c r="H1351" s="47">
        <v>10</v>
      </c>
      <c r="I1351" s="47">
        <v>5</v>
      </c>
    </row>
    <row r="1352" spans="1:9">
      <c r="A1352" s="21" t="s">
        <v>127</v>
      </c>
      <c r="B1352" s="21" t="s">
        <v>117</v>
      </c>
      <c r="C1352" s="20"/>
      <c r="D1352" s="49" t="s">
        <v>55</v>
      </c>
      <c r="E1352" s="49"/>
      <c r="F1352" s="48">
        <f>WORKDAY(G1349,1)</f>
        <v>46552</v>
      </c>
      <c r="G1352" s="22">
        <f t="shared" si="176"/>
        <v>46563</v>
      </c>
      <c r="H1352" s="47">
        <v>10</v>
      </c>
      <c r="I1352" s="47">
        <v>0</v>
      </c>
    </row>
    <row r="1353" spans="1:9">
      <c r="A1353" s="52" t="s">
        <v>127</v>
      </c>
      <c r="B1353" s="52" t="s">
        <v>117</v>
      </c>
      <c r="C1353" s="51"/>
      <c r="D1353" s="52" t="s">
        <v>56</v>
      </c>
      <c r="E1353" s="52"/>
      <c r="F1353" s="53">
        <f t="shared" ref="F1353" si="177">WORKDAY(G1352,1)</f>
        <v>46566</v>
      </c>
      <c r="G1353" s="53">
        <f t="shared" si="176"/>
        <v>46577</v>
      </c>
      <c r="H1353" s="52">
        <v>10</v>
      </c>
      <c r="I1353" s="52">
        <v>7</v>
      </c>
    </row>
    <row r="1354" spans="1:9">
      <c r="A1354" s="52" t="s">
        <v>127</v>
      </c>
      <c r="B1354" s="52" t="s">
        <v>117</v>
      </c>
      <c r="C1354" s="51"/>
      <c r="D1354" s="52" t="s">
        <v>59</v>
      </c>
      <c r="E1354" s="52"/>
      <c r="F1354" s="53">
        <f>WORKDAY(G1352,1)</f>
        <v>46566</v>
      </c>
      <c r="G1354" s="53">
        <f t="shared" si="176"/>
        <v>46566</v>
      </c>
      <c r="H1354" s="52">
        <v>1</v>
      </c>
      <c r="I1354" s="52">
        <v>5</v>
      </c>
    </row>
    <row r="1355" spans="1:9">
      <c r="A1355" s="124" t="s">
        <v>127</v>
      </c>
      <c r="B1355" s="56" t="s">
        <v>117</v>
      </c>
      <c r="C1355" s="55"/>
      <c r="D1355" s="56" t="s">
        <v>62</v>
      </c>
      <c r="E1355" s="56"/>
      <c r="F1355" s="57">
        <f>WORKDAY(G1353,-4)</f>
        <v>46573</v>
      </c>
      <c r="G1355" s="57">
        <f t="shared" si="176"/>
        <v>46584</v>
      </c>
      <c r="H1355" s="56">
        <v>10</v>
      </c>
      <c r="I1355" s="56">
        <v>10</v>
      </c>
    </row>
    <row r="1356" spans="1:9">
      <c r="A1356" s="124" t="s">
        <v>127</v>
      </c>
      <c r="B1356" s="56" t="s">
        <v>117</v>
      </c>
      <c r="C1356" s="55"/>
      <c r="D1356" s="56" t="s">
        <v>64</v>
      </c>
      <c r="E1356" s="56"/>
      <c r="F1356" s="57">
        <f>WORKDAY(F1355,1)</f>
        <v>46574</v>
      </c>
      <c r="G1356" s="57">
        <f t="shared" si="176"/>
        <v>46584</v>
      </c>
      <c r="H1356" s="56">
        <v>9</v>
      </c>
      <c r="I1356" s="56">
        <v>0</v>
      </c>
    </row>
    <row r="1357" spans="1:9">
      <c r="A1357" s="31" t="s">
        <v>127</v>
      </c>
      <c r="B1357" s="31" t="s">
        <v>117</v>
      </c>
      <c r="C1357" s="30"/>
      <c r="D1357" s="58" t="s">
        <v>65</v>
      </c>
      <c r="E1357" s="58"/>
      <c r="F1357" s="59">
        <f>WORKDAY(G1355,1)</f>
        <v>46587</v>
      </c>
      <c r="G1357" s="32">
        <f t="shared" si="176"/>
        <v>46598</v>
      </c>
      <c r="H1357" s="58">
        <v>10</v>
      </c>
      <c r="I1357" s="58">
        <v>4</v>
      </c>
    </row>
    <row r="1358" spans="1:9">
      <c r="A1358" s="106" t="s">
        <v>127</v>
      </c>
      <c r="B1358" s="107" t="s">
        <v>117</v>
      </c>
      <c r="C1358" s="108"/>
      <c r="D1358" s="64" t="s">
        <v>68</v>
      </c>
      <c r="E1358" s="64"/>
      <c r="F1358" s="65">
        <f>WORKDAY(G1357,1)</f>
        <v>46601</v>
      </c>
      <c r="G1358" s="65">
        <f>WORKDAY(F1358,H1358-1,)</f>
        <v>46612</v>
      </c>
      <c r="H1358" s="64">
        <v>10</v>
      </c>
      <c r="I1358" s="130">
        <v>4</v>
      </c>
    </row>
    <row r="1359" spans="1:9">
      <c r="A1359" s="106" t="s">
        <v>127</v>
      </c>
      <c r="B1359" s="107" t="s">
        <v>117</v>
      </c>
      <c r="C1359" s="108"/>
      <c r="D1359" s="64" t="s">
        <v>71</v>
      </c>
      <c r="E1359" s="64"/>
      <c r="F1359" s="65">
        <f>WORKDAY(G1357,1)</f>
        <v>46601</v>
      </c>
      <c r="G1359" s="65">
        <f t="shared" ref="G1359:G1361" si="178">WORKDAY(F1358,H1358-1,)</f>
        <v>46612</v>
      </c>
      <c r="H1359" s="64">
        <v>10</v>
      </c>
      <c r="I1359" s="130"/>
    </row>
    <row r="1360" spans="1:9">
      <c r="A1360" s="106" t="s">
        <v>127</v>
      </c>
      <c r="B1360" s="107" t="s">
        <v>117</v>
      </c>
      <c r="C1360" s="108"/>
      <c r="D1360" s="64" t="s">
        <v>72</v>
      </c>
      <c r="E1360" s="64"/>
      <c r="F1360" s="65">
        <f>WORKDAY(G1357,1)</f>
        <v>46601</v>
      </c>
      <c r="G1360" s="65">
        <f t="shared" si="178"/>
        <v>46612</v>
      </c>
      <c r="H1360" s="64">
        <v>10</v>
      </c>
      <c r="I1360" s="130"/>
    </row>
    <row r="1361" spans="1:9">
      <c r="A1361" s="106" t="s">
        <v>127</v>
      </c>
      <c r="B1361" s="107" t="s">
        <v>117</v>
      </c>
      <c r="C1361" s="108"/>
      <c r="D1361" s="64" t="s">
        <v>73</v>
      </c>
      <c r="E1361" s="64"/>
      <c r="F1361" s="65">
        <f>WORKDAY(G1357,1)</f>
        <v>46601</v>
      </c>
      <c r="G1361" s="65">
        <f t="shared" si="178"/>
        <v>46612</v>
      </c>
      <c r="H1361" s="64">
        <v>10</v>
      </c>
      <c r="I1361" s="130"/>
    </row>
    <row r="1362" spans="1:9">
      <c r="A1362" s="107" t="s">
        <v>127</v>
      </c>
      <c r="B1362" s="107" t="s">
        <v>117</v>
      </c>
      <c r="C1362" s="108"/>
      <c r="D1362" s="64" t="s">
        <v>74</v>
      </c>
      <c r="E1362" s="64"/>
      <c r="F1362" s="65">
        <f>WORKDAY(G1357,1)</f>
        <v>46601</v>
      </c>
      <c r="G1362" s="66">
        <f>WORKDAY(F1362,H1362-1,)</f>
        <v>46612</v>
      </c>
      <c r="H1362" s="64">
        <v>10</v>
      </c>
      <c r="I1362" s="64">
        <v>6</v>
      </c>
    </row>
    <row r="1363" spans="1:9">
      <c r="A1363" s="107" t="s">
        <v>127</v>
      </c>
      <c r="B1363" s="107" t="s">
        <v>117</v>
      </c>
      <c r="C1363" s="108"/>
      <c r="D1363" s="64" t="s">
        <v>77</v>
      </c>
      <c r="E1363" s="64"/>
      <c r="F1363" s="65">
        <f>WORKDAY(G1357,1)</f>
        <v>46601</v>
      </c>
      <c r="G1363" s="66">
        <f t="shared" ref="G1363:G1385" si="179">WORKDAY(F1363,H1363-1,)</f>
        <v>46612</v>
      </c>
      <c r="H1363" s="64">
        <v>10</v>
      </c>
      <c r="I1363" s="64">
        <v>1</v>
      </c>
    </row>
    <row r="1364" spans="1:9">
      <c r="A1364" s="107" t="s">
        <v>127</v>
      </c>
      <c r="B1364" s="107" t="s">
        <v>117</v>
      </c>
      <c r="C1364" s="108"/>
      <c r="D1364" s="64" t="s">
        <v>80</v>
      </c>
      <c r="E1364" s="64"/>
      <c r="F1364" s="65">
        <f>WORKDAY(G1357,1)</f>
        <v>46601</v>
      </c>
      <c r="G1364" s="66">
        <f t="shared" si="179"/>
        <v>46612</v>
      </c>
      <c r="H1364" s="64">
        <v>10</v>
      </c>
      <c r="I1364" s="64">
        <v>0</v>
      </c>
    </row>
    <row r="1365" spans="1:9">
      <c r="A1365" s="107" t="s">
        <v>127</v>
      </c>
      <c r="B1365" s="107" t="s">
        <v>117</v>
      </c>
      <c r="C1365" s="108"/>
      <c r="D1365" s="64" t="s">
        <v>81</v>
      </c>
      <c r="E1365" s="64"/>
      <c r="F1365" s="65">
        <f>WORKDAY(G1357,1)</f>
        <v>46601</v>
      </c>
      <c r="G1365" s="66">
        <f t="shared" si="179"/>
        <v>46612</v>
      </c>
      <c r="H1365" s="64">
        <v>10</v>
      </c>
      <c r="I1365" s="64">
        <v>4</v>
      </c>
    </row>
    <row r="1366" spans="1:9">
      <c r="A1366" s="70" t="s">
        <v>127</v>
      </c>
      <c r="B1366" s="70" t="s">
        <v>117</v>
      </c>
      <c r="C1366" s="69"/>
      <c r="D1366" s="70" t="s">
        <v>82</v>
      </c>
      <c r="E1366" s="70"/>
      <c r="F1366" s="71">
        <f t="shared" ref="F1366" si="180">WORKDAY(G1365,1)</f>
        <v>46615</v>
      </c>
      <c r="G1366" s="71">
        <f t="shared" si="179"/>
        <v>46626</v>
      </c>
      <c r="H1366" s="70">
        <v>10</v>
      </c>
      <c r="I1366" s="70">
        <v>4</v>
      </c>
    </row>
    <row r="1367" spans="1:9">
      <c r="A1367" s="77" t="s">
        <v>127</v>
      </c>
      <c r="B1367" s="77" t="s">
        <v>117</v>
      </c>
      <c r="C1367" s="98"/>
      <c r="D1367" s="75" t="s">
        <v>85</v>
      </c>
      <c r="E1367" s="75"/>
      <c r="F1367" s="76">
        <f>WORKDAY(G1366,-1)</f>
        <v>46625</v>
      </c>
      <c r="G1367" s="44">
        <f t="shared" si="179"/>
        <v>46629</v>
      </c>
      <c r="H1367" s="75">
        <v>3</v>
      </c>
      <c r="I1367" s="75">
        <v>12</v>
      </c>
    </row>
    <row r="1368" spans="1:9">
      <c r="A1368" s="77" t="s">
        <v>127</v>
      </c>
      <c r="B1368" s="77" t="s">
        <v>117</v>
      </c>
      <c r="C1368" s="98"/>
      <c r="D1368" s="75" t="s">
        <v>86</v>
      </c>
      <c r="E1368" s="75"/>
      <c r="F1368" s="76">
        <f>WORKDAY(G1366,1)</f>
        <v>46629</v>
      </c>
      <c r="G1368" s="44">
        <f t="shared" si="179"/>
        <v>46640</v>
      </c>
      <c r="H1368" s="75">
        <v>10</v>
      </c>
      <c r="I1368" s="75">
        <v>0</v>
      </c>
    </row>
    <row r="1369" spans="1:9">
      <c r="A1369" s="78" t="s">
        <v>127</v>
      </c>
      <c r="B1369" s="78" t="s">
        <v>117</v>
      </c>
      <c r="C1369" s="109"/>
      <c r="D1369" s="79" t="s">
        <v>87</v>
      </c>
      <c r="E1369" s="79"/>
      <c r="F1369" s="81">
        <f>WORKDAY(F1367,4)</f>
        <v>46631</v>
      </c>
      <c r="G1369" s="82">
        <f t="shared" si="179"/>
        <v>46644</v>
      </c>
      <c r="H1369" s="79">
        <v>10</v>
      </c>
      <c r="I1369" s="79">
        <v>4</v>
      </c>
    </row>
    <row r="1370" spans="1:9">
      <c r="A1370" s="83" t="s">
        <v>127</v>
      </c>
      <c r="B1370" s="83" t="s">
        <v>117</v>
      </c>
      <c r="C1370" s="84"/>
      <c r="D1370" s="83" t="s">
        <v>89</v>
      </c>
      <c r="E1370" s="83"/>
      <c r="F1370" s="85">
        <f>WORKDAY(F1369,3)</f>
        <v>46636</v>
      </c>
      <c r="G1370" s="85">
        <f t="shared" si="179"/>
        <v>46647</v>
      </c>
      <c r="H1370" s="83">
        <v>10</v>
      </c>
      <c r="I1370" s="127">
        <v>1</v>
      </c>
    </row>
    <row r="1371" spans="1:9">
      <c r="A1371" s="83" t="s">
        <v>127</v>
      </c>
      <c r="B1371" s="83" t="s">
        <v>117</v>
      </c>
      <c r="C1371" s="84"/>
      <c r="D1371" s="83" t="s">
        <v>91</v>
      </c>
      <c r="E1371" s="83"/>
      <c r="F1371" s="85">
        <f>WORKDAY(F1369,3)</f>
        <v>46636</v>
      </c>
      <c r="G1371" s="85">
        <f t="shared" si="179"/>
        <v>46647</v>
      </c>
      <c r="H1371" s="83">
        <v>10</v>
      </c>
      <c r="I1371" s="127"/>
    </row>
    <row r="1372" spans="1:9">
      <c r="A1372" s="83" t="s">
        <v>127</v>
      </c>
      <c r="B1372" s="83" t="s">
        <v>117</v>
      </c>
      <c r="C1372" s="84"/>
      <c r="D1372" s="83" t="s">
        <v>92</v>
      </c>
      <c r="E1372" s="83"/>
      <c r="F1372" s="85">
        <f>WORKDAY(F1369,3)</f>
        <v>46636</v>
      </c>
      <c r="G1372" s="85">
        <f t="shared" si="179"/>
        <v>46647</v>
      </c>
      <c r="H1372" s="83">
        <v>10</v>
      </c>
      <c r="I1372" s="127"/>
    </row>
    <row r="1373" spans="1:9">
      <c r="A1373" s="83" t="s">
        <v>127</v>
      </c>
      <c r="B1373" s="83" t="s">
        <v>117</v>
      </c>
      <c r="C1373" s="84"/>
      <c r="D1373" s="83" t="s">
        <v>93</v>
      </c>
      <c r="E1373" s="83"/>
      <c r="F1373" s="85">
        <f>WORKDAY(F1369,3)</f>
        <v>46636</v>
      </c>
      <c r="G1373" s="85">
        <f t="shared" si="179"/>
        <v>46647</v>
      </c>
      <c r="H1373" s="83">
        <v>10</v>
      </c>
      <c r="I1373" s="127"/>
    </row>
    <row r="1374" spans="1:9">
      <c r="A1374" s="83" t="s">
        <v>127</v>
      </c>
      <c r="B1374" s="83" t="s">
        <v>117</v>
      </c>
      <c r="C1374" s="84"/>
      <c r="D1374" s="83" t="s">
        <v>94</v>
      </c>
      <c r="E1374" s="83"/>
      <c r="F1374" s="85">
        <f>WORKDAY(F1369,3)</f>
        <v>46636</v>
      </c>
      <c r="G1374" s="85">
        <f t="shared" si="179"/>
        <v>46647</v>
      </c>
      <c r="H1374" s="83">
        <v>10</v>
      </c>
      <c r="I1374" s="83">
        <v>1</v>
      </c>
    </row>
    <row r="1375" spans="1:9">
      <c r="A1375" s="86" t="s">
        <v>127</v>
      </c>
      <c r="B1375" s="86" t="s">
        <v>117</v>
      </c>
      <c r="C1375" s="87"/>
      <c r="D1375" s="86" t="s">
        <v>95</v>
      </c>
      <c r="E1375" s="86"/>
      <c r="F1375" s="88">
        <f>WORKDAY(F1374,3)</f>
        <v>46639</v>
      </c>
      <c r="G1375" s="88">
        <f t="shared" si="179"/>
        <v>46647</v>
      </c>
      <c r="H1375" s="86">
        <v>7</v>
      </c>
      <c r="I1375" s="86">
        <v>0</v>
      </c>
    </row>
    <row r="1376" spans="1:9">
      <c r="A1376" s="89" t="s">
        <v>127</v>
      </c>
      <c r="B1376" s="89" t="s">
        <v>117</v>
      </c>
      <c r="C1376" s="90"/>
      <c r="D1376" s="89" t="s">
        <v>96</v>
      </c>
      <c r="E1376" s="89"/>
      <c r="F1376" s="91">
        <f>WORKDAY(F1375,2)</f>
        <v>46643</v>
      </c>
      <c r="G1376" s="91">
        <f t="shared" si="179"/>
        <v>46654</v>
      </c>
      <c r="H1376" s="89">
        <v>10</v>
      </c>
      <c r="I1376" s="89">
        <v>2</v>
      </c>
    </row>
    <row r="1377" spans="1:9">
      <c r="A1377" s="89" t="s">
        <v>127</v>
      </c>
      <c r="B1377" s="89" t="s">
        <v>117</v>
      </c>
      <c r="C1377" s="90"/>
      <c r="D1377" s="89" t="s">
        <v>98</v>
      </c>
      <c r="E1377" s="89"/>
      <c r="F1377" s="91">
        <f>WORKDAY(F1375,2)</f>
        <v>46643</v>
      </c>
      <c r="G1377" s="91">
        <f t="shared" si="179"/>
        <v>46654</v>
      </c>
      <c r="H1377" s="89">
        <v>10</v>
      </c>
      <c r="I1377" s="89">
        <v>9</v>
      </c>
    </row>
    <row r="1378" spans="1:9">
      <c r="A1378" s="89" t="s">
        <v>127</v>
      </c>
      <c r="B1378" s="89" t="s">
        <v>117</v>
      </c>
      <c r="C1378" s="90"/>
      <c r="D1378" s="89" t="s">
        <v>101</v>
      </c>
      <c r="E1378" s="89"/>
      <c r="F1378" s="91">
        <f>WORKDAY(F1375,2)</f>
        <v>46643</v>
      </c>
      <c r="G1378" s="91">
        <f t="shared" si="179"/>
        <v>46654</v>
      </c>
      <c r="H1378" s="89">
        <v>10</v>
      </c>
      <c r="I1378" s="89">
        <v>0</v>
      </c>
    </row>
    <row r="1379" spans="1:9">
      <c r="A1379" s="38" t="s">
        <v>127</v>
      </c>
      <c r="B1379" s="38" t="s">
        <v>117</v>
      </c>
      <c r="C1379" s="92"/>
      <c r="D1379" s="38" t="s">
        <v>103</v>
      </c>
      <c r="E1379" s="38"/>
      <c r="F1379" s="93">
        <f>WORKDAY(G1377,-4)</f>
        <v>46650</v>
      </c>
      <c r="G1379" s="93">
        <f t="shared" si="179"/>
        <v>46652</v>
      </c>
      <c r="H1379" s="38">
        <v>3</v>
      </c>
      <c r="I1379" s="38">
        <v>0</v>
      </c>
    </row>
    <row r="1380" spans="1:9">
      <c r="A1380" s="38" t="s">
        <v>127</v>
      </c>
      <c r="B1380" s="38" t="s">
        <v>117</v>
      </c>
      <c r="C1380" s="92"/>
      <c r="D1380" s="38" t="s">
        <v>106</v>
      </c>
      <c r="E1380" s="38"/>
      <c r="F1380" s="93">
        <f>WORKDAY(G1377,-4)</f>
        <v>46650</v>
      </c>
      <c r="G1380" s="93">
        <f t="shared" si="179"/>
        <v>46661</v>
      </c>
      <c r="H1380" s="38">
        <v>10</v>
      </c>
      <c r="I1380" s="38">
        <v>10</v>
      </c>
    </row>
    <row r="1381" spans="1:9">
      <c r="A1381" s="38" t="s">
        <v>127</v>
      </c>
      <c r="B1381" s="38" t="s">
        <v>117</v>
      </c>
      <c r="C1381" s="92"/>
      <c r="D1381" s="38" t="s">
        <v>108</v>
      </c>
      <c r="E1381" s="38"/>
      <c r="F1381" s="93">
        <f>WORKDAY(G1377,-4)</f>
        <v>46650</v>
      </c>
      <c r="G1381" s="93">
        <f t="shared" si="179"/>
        <v>46661</v>
      </c>
      <c r="H1381" s="38">
        <v>10</v>
      </c>
      <c r="I1381" s="38">
        <v>6</v>
      </c>
    </row>
    <row r="1382" spans="1:9">
      <c r="A1382" s="94" t="s">
        <v>127</v>
      </c>
      <c r="B1382" s="94" t="s">
        <v>117</v>
      </c>
      <c r="C1382" s="95"/>
      <c r="D1382" s="96" t="s">
        <v>109</v>
      </c>
      <c r="E1382" s="96"/>
      <c r="F1382" s="97">
        <f>WORKDAY(G1377,1)</f>
        <v>46657</v>
      </c>
      <c r="G1382" s="97">
        <f t="shared" si="179"/>
        <v>46668</v>
      </c>
      <c r="H1382" s="94">
        <v>10</v>
      </c>
      <c r="I1382" s="94">
        <v>0</v>
      </c>
    </row>
    <row r="1383" spans="1:9">
      <c r="A1383" s="94" t="s">
        <v>127</v>
      </c>
      <c r="B1383" s="94" t="s">
        <v>117</v>
      </c>
      <c r="C1383" s="95"/>
      <c r="D1383" s="96" t="s">
        <v>112</v>
      </c>
      <c r="E1383" s="96"/>
      <c r="F1383" s="97">
        <f>WORKDAY(G1377,1)</f>
        <v>46657</v>
      </c>
      <c r="G1383" s="97">
        <f t="shared" si="179"/>
        <v>46668</v>
      </c>
      <c r="H1383" s="94">
        <v>10</v>
      </c>
      <c r="I1383" s="94">
        <v>0</v>
      </c>
    </row>
    <row r="1384" spans="1:9">
      <c r="A1384" s="77" t="s">
        <v>127</v>
      </c>
      <c r="B1384" s="77" t="s">
        <v>117</v>
      </c>
      <c r="C1384" s="98"/>
      <c r="D1384" s="77" t="s">
        <v>113</v>
      </c>
      <c r="E1384" s="77"/>
      <c r="F1384" s="44">
        <f>WORKDAY(G1382,-4)</f>
        <v>46664</v>
      </c>
      <c r="G1384" s="44">
        <f t="shared" si="179"/>
        <v>46668</v>
      </c>
      <c r="H1384" s="77">
        <v>5</v>
      </c>
      <c r="I1384" s="77">
        <v>1</v>
      </c>
    </row>
    <row r="1385" spans="1:9">
      <c r="A1385" s="77" t="s">
        <v>127</v>
      </c>
      <c r="B1385" s="77" t="s">
        <v>117</v>
      </c>
      <c r="C1385" s="98"/>
      <c r="D1385" s="77" t="s">
        <v>116</v>
      </c>
      <c r="E1385" s="77"/>
      <c r="F1385" s="44">
        <f>WORKDAY(G1382,-4)</f>
        <v>46664</v>
      </c>
      <c r="G1385" s="44">
        <f t="shared" si="179"/>
        <v>46668</v>
      </c>
      <c r="H1385" s="77">
        <v>5</v>
      </c>
      <c r="I1385" s="77">
        <v>0</v>
      </c>
    </row>
    <row r="1386" spans="1:9">
      <c r="A1386" s="5" t="s">
        <v>127</v>
      </c>
      <c r="B1386" s="99" t="s">
        <v>118</v>
      </c>
      <c r="C1386" s="100"/>
      <c r="D1386" s="6" t="s">
        <v>11</v>
      </c>
      <c r="E1386" s="6"/>
      <c r="F1386" s="8">
        <f>WORKDAY(G1335,1)</f>
        <v>46510</v>
      </c>
      <c r="G1386" s="8">
        <f>WORKDAY(F1386,H1386-1,)</f>
        <v>46521</v>
      </c>
      <c r="H1386" s="6">
        <v>10</v>
      </c>
      <c r="I1386" s="6">
        <v>36</v>
      </c>
    </row>
    <row r="1387" spans="1:9">
      <c r="A1387" s="5" t="s">
        <v>127</v>
      </c>
      <c r="B1387" s="99" t="s">
        <v>118</v>
      </c>
      <c r="C1387" s="100"/>
      <c r="D1387" s="6" t="s">
        <v>13</v>
      </c>
      <c r="E1387" s="6"/>
      <c r="F1387" s="8">
        <f>WORKDAY(G1335,1)</f>
        <v>46510</v>
      </c>
      <c r="G1387" s="8">
        <f t="shared" ref="G1387" si="181">WORKDAY(F1387,H1387-1,)</f>
        <v>46521</v>
      </c>
      <c r="H1387" s="6">
        <v>10</v>
      </c>
      <c r="I1387" s="6">
        <v>1</v>
      </c>
    </row>
    <row r="1388" spans="1:9">
      <c r="A1388" s="5" t="s">
        <v>127</v>
      </c>
      <c r="B1388" s="99" t="s">
        <v>118</v>
      </c>
      <c r="C1388" s="100"/>
      <c r="D1388" s="6" t="s">
        <v>15</v>
      </c>
      <c r="E1388" s="6"/>
      <c r="F1388" s="8">
        <f>WORKDAY(G1335,1)</f>
        <v>46510</v>
      </c>
      <c r="G1388" s="8">
        <f>WORKDAY(F1388,H1388-1,)</f>
        <v>46521</v>
      </c>
      <c r="H1388" s="6">
        <v>10</v>
      </c>
      <c r="I1388" s="6">
        <v>1</v>
      </c>
    </row>
    <row r="1389" spans="1:9">
      <c r="A1389" s="11" t="s">
        <v>127</v>
      </c>
      <c r="B1389" s="101" t="s">
        <v>118</v>
      </c>
      <c r="C1389" s="102"/>
      <c r="D1389" s="11" t="s">
        <v>16</v>
      </c>
      <c r="E1389" s="11"/>
      <c r="F1389" s="12">
        <f>WORKDAY(G1388,-4)</f>
        <v>46517</v>
      </c>
      <c r="G1389" s="12">
        <f t="shared" ref="G1389:G1396" si="182">WORKDAY(F1389,H1389-1,)</f>
        <v>46528</v>
      </c>
      <c r="H1389" s="11">
        <v>10</v>
      </c>
      <c r="I1389" s="11">
        <v>5</v>
      </c>
    </row>
    <row r="1390" spans="1:9">
      <c r="A1390" s="11" t="s">
        <v>127</v>
      </c>
      <c r="B1390" s="101" t="s">
        <v>118</v>
      </c>
      <c r="C1390" s="102"/>
      <c r="D1390" s="11" t="s">
        <v>18</v>
      </c>
      <c r="E1390" s="11"/>
      <c r="F1390" s="12">
        <f>WORKDAY(G1388,-4)</f>
        <v>46517</v>
      </c>
      <c r="G1390" s="12">
        <f t="shared" si="182"/>
        <v>46528</v>
      </c>
      <c r="H1390" s="11">
        <v>10</v>
      </c>
      <c r="I1390" s="13">
        <v>4</v>
      </c>
    </row>
    <row r="1391" spans="1:9">
      <c r="A1391" s="11" t="s">
        <v>127</v>
      </c>
      <c r="B1391" s="101" t="s">
        <v>118</v>
      </c>
      <c r="C1391" s="102"/>
      <c r="D1391" s="11" t="s">
        <v>21</v>
      </c>
      <c r="E1391" s="11"/>
      <c r="F1391" s="12">
        <f>WORKDAY(G1388,-4)</f>
        <v>46517</v>
      </c>
      <c r="G1391" s="12">
        <f t="shared" si="182"/>
        <v>46528</v>
      </c>
      <c r="H1391" s="11">
        <v>10</v>
      </c>
      <c r="I1391" s="11">
        <v>3</v>
      </c>
    </row>
    <row r="1392" spans="1:9">
      <c r="A1392" s="11" t="s">
        <v>127</v>
      </c>
      <c r="B1392" s="101" t="s">
        <v>118</v>
      </c>
      <c r="C1392" s="102"/>
      <c r="D1392" s="11" t="s">
        <v>24</v>
      </c>
      <c r="E1392" s="11"/>
      <c r="F1392" s="12">
        <f>WORKDAY(G1388,-4)</f>
        <v>46517</v>
      </c>
      <c r="G1392" s="12">
        <f t="shared" si="182"/>
        <v>46528</v>
      </c>
      <c r="H1392" s="11">
        <v>10</v>
      </c>
      <c r="I1392" s="11">
        <v>0</v>
      </c>
    </row>
    <row r="1393" spans="1:9">
      <c r="A1393" s="17" t="s">
        <v>127</v>
      </c>
      <c r="B1393" s="103" t="s">
        <v>118</v>
      </c>
      <c r="C1393" s="104"/>
      <c r="D1393" s="17" t="s">
        <v>26</v>
      </c>
      <c r="E1393" s="17"/>
      <c r="F1393" s="18">
        <f>WORKDAY(G1392,-4)</f>
        <v>46524</v>
      </c>
      <c r="G1393" s="18">
        <f t="shared" si="182"/>
        <v>46535</v>
      </c>
      <c r="H1393" s="17">
        <v>10</v>
      </c>
      <c r="I1393" s="17">
        <v>2</v>
      </c>
    </row>
    <row r="1394" spans="1:9">
      <c r="A1394" s="21" t="s">
        <v>127</v>
      </c>
      <c r="B1394" s="21" t="s">
        <v>118</v>
      </c>
      <c r="C1394" s="20"/>
      <c r="D1394" s="21" t="s">
        <v>29</v>
      </c>
      <c r="E1394" s="21"/>
      <c r="F1394" s="22">
        <f>WORKDAY(F1393,5)</f>
        <v>46531</v>
      </c>
      <c r="G1394" s="22">
        <f t="shared" si="182"/>
        <v>46535</v>
      </c>
      <c r="H1394" s="21">
        <v>5</v>
      </c>
      <c r="I1394" s="21">
        <v>4</v>
      </c>
    </row>
    <row r="1395" spans="1:9">
      <c r="A1395" s="21" t="s">
        <v>127</v>
      </c>
      <c r="B1395" s="21" t="s">
        <v>118</v>
      </c>
      <c r="C1395" s="20"/>
      <c r="D1395" s="21" t="s">
        <v>32</v>
      </c>
      <c r="E1395" s="21"/>
      <c r="F1395" s="22">
        <f>WORKDAY(G1393,1)</f>
        <v>46538</v>
      </c>
      <c r="G1395" s="22">
        <f t="shared" si="182"/>
        <v>46542</v>
      </c>
      <c r="H1395" s="21">
        <v>5</v>
      </c>
      <c r="I1395" s="21">
        <v>1</v>
      </c>
    </row>
    <row r="1396" spans="1:9">
      <c r="A1396" s="21" t="s">
        <v>127</v>
      </c>
      <c r="B1396" s="21" t="s">
        <v>118</v>
      </c>
      <c r="C1396" s="20"/>
      <c r="D1396" s="21" t="s">
        <v>34</v>
      </c>
      <c r="E1396" s="21"/>
      <c r="F1396" s="22">
        <f>WORKDAY(G1390,1)</f>
        <v>46531</v>
      </c>
      <c r="G1396" s="22">
        <f t="shared" si="182"/>
        <v>46542</v>
      </c>
      <c r="H1396" s="21">
        <v>10</v>
      </c>
      <c r="I1396" s="21">
        <v>3</v>
      </c>
    </row>
    <row r="1397" spans="1:9">
      <c r="A1397" s="31" t="s">
        <v>127</v>
      </c>
      <c r="B1397" s="31" t="s">
        <v>118</v>
      </c>
      <c r="C1397" s="30"/>
      <c r="D1397" s="31" t="s">
        <v>37</v>
      </c>
      <c r="E1397" s="31"/>
      <c r="F1397" s="32">
        <f>WORKDAY(G1396,1)</f>
        <v>46545</v>
      </c>
      <c r="G1397" s="32">
        <f>WORKDAY(F1397,H1397-1,)</f>
        <v>46556</v>
      </c>
      <c r="H1397" s="31">
        <v>10</v>
      </c>
      <c r="I1397" s="128">
        <v>5</v>
      </c>
    </row>
    <row r="1398" spans="1:9">
      <c r="A1398" s="31" t="s">
        <v>127</v>
      </c>
      <c r="B1398" s="31" t="s">
        <v>118</v>
      </c>
      <c r="C1398" s="30"/>
      <c r="D1398" s="31" t="s">
        <v>40</v>
      </c>
      <c r="E1398" s="31"/>
      <c r="F1398" s="32">
        <f>WORKDAY(G1396,1)</f>
        <v>46545</v>
      </c>
      <c r="G1398" s="32">
        <f t="shared" ref="G1398:G1410" si="183">WORKDAY(F1398,H1398-1,)</f>
        <v>46556</v>
      </c>
      <c r="H1398" s="31">
        <v>10</v>
      </c>
      <c r="I1398" s="128"/>
    </row>
    <row r="1399" spans="1:9">
      <c r="A1399" s="31" t="s">
        <v>127</v>
      </c>
      <c r="B1399" s="31" t="s">
        <v>118</v>
      </c>
      <c r="C1399" s="30"/>
      <c r="D1399" s="31" t="s">
        <v>42</v>
      </c>
      <c r="E1399" s="31"/>
      <c r="F1399" s="32">
        <f>WORKDAY(G1396,1)</f>
        <v>46545</v>
      </c>
      <c r="G1399" s="32">
        <f t="shared" si="183"/>
        <v>46556</v>
      </c>
      <c r="H1399" s="31">
        <v>10</v>
      </c>
      <c r="I1399" s="128"/>
    </row>
    <row r="1400" spans="1:9">
      <c r="A1400" s="31" t="s">
        <v>127</v>
      </c>
      <c r="B1400" s="31" t="s">
        <v>118</v>
      </c>
      <c r="C1400" s="30"/>
      <c r="D1400" s="31" t="s">
        <v>44</v>
      </c>
      <c r="E1400" s="31"/>
      <c r="F1400" s="32">
        <f>WORKDAY(G1396,1)</f>
        <v>46545</v>
      </c>
      <c r="G1400" s="32">
        <f t="shared" si="183"/>
        <v>46556</v>
      </c>
      <c r="H1400" s="31">
        <v>10</v>
      </c>
      <c r="I1400" s="128"/>
    </row>
    <row r="1401" spans="1:9">
      <c r="A1401" s="31" t="s">
        <v>127</v>
      </c>
      <c r="B1401" s="31" t="s">
        <v>118</v>
      </c>
      <c r="C1401" s="30"/>
      <c r="D1401" s="31" t="s">
        <v>45</v>
      </c>
      <c r="E1401" s="31"/>
      <c r="F1401" s="32">
        <f>WORKDAY(G1396,1)</f>
        <v>46545</v>
      </c>
      <c r="G1401" s="32">
        <f t="shared" si="183"/>
        <v>46556</v>
      </c>
      <c r="H1401" s="31">
        <v>10</v>
      </c>
      <c r="I1401" s="31">
        <v>5</v>
      </c>
    </row>
    <row r="1402" spans="1:9">
      <c r="A1402" s="25" t="s">
        <v>127</v>
      </c>
      <c r="B1402" s="25" t="s">
        <v>118</v>
      </c>
      <c r="C1402" s="105"/>
      <c r="D1402" s="26" t="s">
        <v>47</v>
      </c>
      <c r="E1402" s="26"/>
      <c r="F1402" s="27">
        <f>WORKDAY(G1401,-4)</f>
        <v>46552</v>
      </c>
      <c r="G1402" s="28">
        <f t="shared" si="183"/>
        <v>46563</v>
      </c>
      <c r="H1402" s="26">
        <v>10</v>
      </c>
      <c r="I1402" s="26">
        <v>11</v>
      </c>
    </row>
    <row r="1403" spans="1:9">
      <c r="A1403" s="77" t="s">
        <v>127</v>
      </c>
      <c r="B1403" s="77" t="s">
        <v>118</v>
      </c>
      <c r="C1403" s="98"/>
      <c r="D1403" s="42" t="s">
        <v>50</v>
      </c>
      <c r="E1403" s="42"/>
      <c r="F1403" s="43">
        <f>WORKDAY(G1401,1)</f>
        <v>46559</v>
      </c>
      <c r="G1403" s="44">
        <f t="shared" si="183"/>
        <v>46559</v>
      </c>
      <c r="H1403" s="42">
        <v>1</v>
      </c>
      <c r="I1403" s="42">
        <v>0</v>
      </c>
    </row>
    <row r="1404" spans="1:9">
      <c r="A1404" s="21" t="s">
        <v>127</v>
      </c>
      <c r="B1404" s="21" t="s">
        <v>118</v>
      </c>
      <c r="C1404" s="20"/>
      <c r="D1404" s="47" t="s">
        <v>52</v>
      </c>
      <c r="E1404" s="47"/>
      <c r="F1404" s="48">
        <f>WORKDAY(G1402,1)</f>
        <v>46566</v>
      </c>
      <c r="G1404" s="22">
        <f t="shared" si="183"/>
        <v>46577</v>
      </c>
      <c r="H1404" s="47">
        <v>10</v>
      </c>
      <c r="I1404" s="47">
        <v>5</v>
      </c>
    </row>
    <row r="1405" spans="1:9">
      <c r="A1405" s="21" t="s">
        <v>127</v>
      </c>
      <c r="B1405" s="21" t="s">
        <v>118</v>
      </c>
      <c r="C1405" s="20"/>
      <c r="D1405" s="49" t="s">
        <v>55</v>
      </c>
      <c r="E1405" s="49"/>
      <c r="F1405" s="48">
        <f>WORKDAY(G1402,1)</f>
        <v>46566</v>
      </c>
      <c r="G1405" s="22">
        <f t="shared" si="183"/>
        <v>46577</v>
      </c>
      <c r="H1405" s="47">
        <v>10</v>
      </c>
      <c r="I1405" s="47">
        <v>0</v>
      </c>
    </row>
    <row r="1406" spans="1:9">
      <c r="A1406" s="52" t="s">
        <v>127</v>
      </c>
      <c r="B1406" s="110" t="s">
        <v>118</v>
      </c>
      <c r="C1406" s="111"/>
      <c r="D1406" s="52" t="s">
        <v>56</v>
      </c>
      <c r="E1406" s="52"/>
      <c r="F1406" s="53">
        <f t="shared" ref="F1406" si="184">WORKDAY(G1405,1)</f>
        <v>46580</v>
      </c>
      <c r="G1406" s="53">
        <f t="shared" si="183"/>
        <v>46591</v>
      </c>
      <c r="H1406" s="52">
        <v>10</v>
      </c>
      <c r="I1406" s="52">
        <v>7</v>
      </c>
    </row>
    <row r="1407" spans="1:9">
      <c r="A1407" s="52" t="s">
        <v>127</v>
      </c>
      <c r="B1407" s="110" t="s">
        <v>118</v>
      </c>
      <c r="C1407" s="111"/>
      <c r="D1407" s="52" t="s">
        <v>59</v>
      </c>
      <c r="E1407" s="52"/>
      <c r="F1407" s="53">
        <f>WORKDAY(G1405,1)</f>
        <v>46580</v>
      </c>
      <c r="G1407" s="53">
        <f t="shared" si="183"/>
        <v>46580</v>
      </c>
      <c r="H1407" s="52">
        <v>1</v>
      </c>
      <c r="I1407" s="52">
        <v>5</v>
      </c>
    </row>
    <row r="1408" spans="1:9">
      <c r="A1408" s="124" t="s">
        <v>127</v>
      </c>
      <c r="B1408" s="112" t="s">
        <v>118</v>
      </c>
      <c r="C1408" s="113"/>
      <c r="D1408" s="56" t="s">
        <v>62</v>
      </c>
      <c r="E1408" s="56"/>
      <c r="F1408" s="57">
        <f>WORKDAY(G1406,-4)</f>
        <v>46587</v>
      </c>
      <c r="G1408" s="57">
        <f t="shared" si="183"/>
        <v>46598</v>
      </c>
      <c r="H1408" s="56">
        <v>10</v>
      </c>
      <c r="I1408" s="56">
        <v>10</v>
      </c>
    </row>
    <row r="1409" spans="1:9">
      <c r="A1409" s="124" t="s">
        <v>127</v>
      </c>
      <c r="B1409" s="112" t="s">
        <v>118</v>
      </c>
      <c r="C1409" s="113"/>
      <c r="D1409" s="56" t="s">
        <v>64</v>
      </c>
      <c r="E1409" s="56"/>
      <c r="F1409" s="57">
        <f>WORKDAY(F1408,1)</f>
        <v>46588</v>
      </c>
      <c r="G1409" s="57">
        <f t="shared" si="183"/>
        <v>46598</v>
      </c>
      <c r="H1409" s="56">
        <v>9</v>
      </c>
      <c r="I1409" s="56">
        <v>0</v>
      </c>
    </row>
    <row r="1410" spans="1:9">
      <c r="A1410" s="31" t="s">
        <v>127</v>
      </c>
      <c r="B1410" s="31" t="s">
        <v>118</v>
      </c>
      <c r="C1410" s="30"/>
      <c r="D1410" s="58" t="s">
        <v>65</v>
      </c>
      <c r="E1410" s="58"/>
      <c r="F1410" s="59">
        <f>WORKDAY(G1408,1)</f>
        <v>46601</v>
      </c>
      <c r="G1410" s="32">
        <f t="shared" si="183"/>
        <v>46612</v>
      </c>
      <c r="H1410" s="58">
        <v>10</v>
      </c>
      <c r="I1410" s="58">
        <v>4</v>
      </c>
    </row>
    <row r="1411" spans="1:9">
      <c r="A1411" s="106" t="s">
        <v>127</v>
      </c>
      <c r="B1411" s="107" t="s">
        <v>118</v>
      </c>
      <c r="C1411" s="108"/>
      <c r="D1411" s="64" t="s">
        <v>68</v>
      </c>
      <c r="E1411" s="64"/>
      <c r="F1411" s="65">
        <f>WORKDAY(G1410,1)</f>
        <v>46615</v>
      </c>
      <c r="G1411" s="65">
        <f>WORKDAY(F1411,H1411-1,)</f>
        <v>46626</v>
      </c>
      <c r="H1411" s="64">
        <v>10</v>
      </c>
      <c r="I1411" s="130">
        <v>4</v>
      </c>
    </row>
    <row r="1412" spans="1:9">
      <c r="A1412" s="106" t="s">
        <v>127</v>
      </c>
      <c r="B1412" s="107" t="s">
        <v>118</v>
      </c>
      <c r="C1412" s="108"/>
      <c r="D1412" s="64" t="s">
        <v>71</v>
      </c>
      <c r="E1412" s="64"/>
      <c r="F1412" s="65">
        <f>WORKDAY(G1410,1)</f>
        <v>46615</v>
      </c>
      <c r="G1412" s="65">
        <f t="shared" ref="G1412:G1414" si="185">WORKDAY(F1411,H1411-1,)</f>
        <v>46626</v>
      </c>
      <c r="H1412" s="64">
        <v>10</v>
      </c>
      <c r="I1412" s="130"/>
    </row>
    <row r="1413" spans="1:9">
      <c r="A1413" s="106" t="s">
        <v>127</v>
      </c>
      <c r="B1413" s="107" t="s">
        <v>118</v>
      </c>
      <c r="C1413" s="108"/>
      <c r="D1413" s="64" t="s">
        <v>72</v>
      </c>
      <c r="E1413" s="64"/>
      <c r="F1413" s="65">
        <f>WORKDAY(G1410,1)</f>
        <v>46615</v>
      </c>
      <c r="G1413" s="65">
        <f t="shared" si="185"/>
        <v>46626</v>
      </c>
      <c r="H1413" s="64">
        <v>10</v>
      </c>
      <c r="I1413" s="130"/>
    </row>
    <row r="1414" spans="1:9">
      <c r="A1414" s="106" t="s">
        <v>127</v>
      </c>
      <c r="B1414" s="107" t="s">
        <v>118</v>
      </c>
      <c r="C1414" s="108"/>
      <c r="D1414" s="64" t="s">
        <v>73</v>
      </c>
      <c r="E1414" s="64"/>
      <c r="F1414" s="65">
        <f>WORKDAY(G1410,1)</f>
        <v>46615</v>
      </c>
      <c r="G1414" s="65">
        <f t="shared" si="185"/>
        <v>46626</v>
      </c>
      <c r="H1414" s="64">
        <v>10</v>
      </c>
      <c r="I1414" s="130"/>
    </row>
    <row r="1415" spans="1:9">
      <c r="A1415" s="107" t="s">
        <v>127</v>
      </c>
      <c r="B1415" s="107" t="s">
        <v>118</v>
      </c>
      <c r="C1415" s="108"/>
      <c r="D1415" s="64" t="s">
        <v>74</v>
      </c>
      <c r="E1415" s="64"/>
      <c r="F1415" s="65">
        <f>WORKDAY(G1410,1)</f>
        <v>46615</v>
      </c>
      <c r="G1415" s="66">
        <f>WORKDAY(F1415,H1415-1,)</f>
        <v>46626</v>
      </c>
      <c r="H1415" s="64">
        <v>10</v>
      </c>
      <c r="I1415" s="64">
        <v>6</v>
      </c>
    </row>
    <row r="1416" spans="1:9">
      <c r="A1416" s="107" t="s">
        <v>127</v>
      </c>
      <c r="B1416" s="107" t="s">
        <v>118</v>
      </c>
      <c r="C1416" s="108"/>
      <c r="D1416" s="64" t="s">
        <v>77</v>
      </c>
      <c r="E1416" s="64"/>
      <c r="F1416" s="65">
        <f>WORKDAY(G1410,1)</f>
        <v>46615</v>
      </c>
      <c r="G1416" s="66">
        <f t="shared" ref="G1416:G1438" si="186">WORKDAY(F1416,H1416-1,)</f>
        <v>46626</v>
      </c>
      <c r="H1416" s="64">
        <v>10</v>
      </c>
      <c r="I1416" s="64">
        <v>1</v>
      </c>
    </row>
    <row r="1417" spans="1:9">
      <c r="A1417" s="107" t="s">
        <v>127</v>
      </c>
      <c r="B1417" s="107" t="s">
        <v>118</v>
      </c>
      <c r="C1417" s="108"/>
      <c r="D1417" s="64" t="s">
        <v>80</v>
      </c>
      <c r="E1417" s="64"/>
      <c r="F1417" s="65">
        <f>WORKDAY(G1410,1)</f>
        <v>46615</v>
      </c>
      <c r="G1417" s="66">
        <f t="shared" si="186"/>
        <v>46626</v>
      </c>
      <c r="H1417" s="64">
        <v>10</v>
      </c>
      <c r="I1417" s="64">
        <v>0</v>
      </c>
    </row>
    <row r="1418" spans="1:9">
      <c r="A1418" s="107" t="s">
        <v>127</v>
      </c>
      <c r="B1418" s="107" t="s">
        <v>118</v>
      </c>
      <c r="C1418" s="108"/>
      <c r="D1418" s="64" t="s">
        <v>81</v>
      </c>
      <c r="E1418" s="64"/>
      <c r="F1418" s="65">
        <f>WORKDAY(G1410,1)</f>
        <v>46615</v>
      </c>
      <c r="G1418" s="66">
        <f t="shared" si="186"/>
        <v>46626</v>
      </c>
      <c r="H1418" s="64">
        <v>10</v>
      </c>
      <c r="I1418" s="64">
        <v>4</v>
      </c>
    </row>
    <row r="1419" spans="1:9">
      <c r="A1419" s="70" t="s">
        <v>127</v>
      </c>
      <c r="B1419" s="70" t="s">
        <v>118</v>
      </c>
      <c r="C1419" s="69"/>
      <c r="D1419" s="70" t="s">
        <v>82</v>
      </c>
      <c r="E1419" s="70"/>
      <c r="F1419" s="71">
        <f t="shared" ref="F1419" si="187">WORKDAY(G1418,1)</f>
        <v>46629</v>
      </c>
      <c r="G1419" s="71">
        <f t="shared" si="186"/>
        <v>46640</v>
      </c>
      <c r="H1419" s="70">
        <v>10</v>
      </c>
      <c r="I1419" s="70">
        <v>4</v>
      </c>
    </row>
    <row r="1420" spans="1:9">
      <c r="A1420" s="77" t="s">
        <v>127</v>
      </c>
      <c r="B1420" s="77" t="s">
        <v>118</v>
      </c>
      <c r="C1420" s="98"/>
      <c r="D1420" s="75" t="s">
        <v>85</v>
      </c>
      <c r="E1420" s="75"/>
      <c r="F1420" s="76">
        <f>WORKDAY(G1419,-1)</f>
        <v>46639</v>
      </c>
      <c r="G1420" s="44">
        <f t="shared" si="186"/>
        <v>46643</v>
      </c>
      <c r="H1420" s="75">
        <v>3</v>
      </c>
      <c r="I1420" s="75">
        <v>12</v>
      </c>
    </row>
    <row r="1421" spans="1:9">
      <c r="A1421" s="77" t="s">
        <v>127</v>
      </c>
      <c r="B1421" s="77" t="s">
        <v>118</v>
      </c>
      <c r="C1421" s="98"/>
      <c r="D1421" s="75" t="s">
        <v>86</v>
      </c>
      <c r="E1421" s="75"/>
      <c r="F1421" s="76">
        <f>WORKDAY(G1419,1)</f>
        <v>46643</v>
      </c>
      <c r="G1421" s="44">
        <f t="shared" si="186"/>
        <v>46654</v>
      </c>
      <c r="H1421" s="75">
        <v>10</v>
      </c>
      <c r="I1421" s="75">
        <v>0</v>
      </c>
    </row>
    <row r="1422" spans="1:9">
      <c r="A1422" s="78" t="s">
        <v>127</v>
      </c>
      <c r="B1422" s="78" t="s">
        <v>118</v>
      </c>
      <c r="C1422" s="109"/>
      <c r="D1422" s="79" t="s">
        <v>87</v>
      </c>
      <c r="E1422" s="79"/>
      <c r="F1422" s="81">
        <f>WORKDAY(F1420,4)</f>
        <v>46645</v>
      </c>
      <c r="G1422" s="82">
        <f t="shared" si="186"/>
        <v>46658</v>
      </c>
      <c r="H1422" s="79">
        <v>10</v>
      </c>
      <c r="I1422" s="79">
        <v>4</v>
      </c>
    </row>
    <row r="1423" spans="1:9">
      <c r="A1423" s="83" t="s">
        <v>127</v>
      </c>
      <c r="B1423" s="114" t="s">
        <v>118</v>
      </c>
      <c r="C1423" s="115"/>
      <c r="D1423" s="83" t="s">
        <v>89</v>
      </c>
      <c r="E1423" s="83"/>
      <c r="F1423" s="85">
        <f>WORKDAY(F1422,3)</f>
        <v>46650</v>
      </c>
      <c r="G1423" s="85">
        <f t="shared" si="186"/>
        <v>46661</v>
      </c>
      <c r="H1423" s="83">
        <v>10</v>
      </c>
      <c r="I1423" s="127">
        <v>1</v>
      </c>
    </row>
    <row r="1424" spans="1:9">
      <c r="A1424" s="83" t="s">
        <v>127</v>
      </c>
      <c r="B1424" s="114" t="s">
        <v>118</v>
      </c>
      <c r="C1424" s="115"/>
      <c r="D1424" s="83" t="s">
        <v>91</v>
      </c>
      <c r="E1424" s="83"/>
      <c r="F1424" s="85">
        <f>WORKDAY(F1422,3)</f>
        <v>46650</v>
      </c>
      <c r="G1424" s="85">
        <f t="shared" si="186"/>
        <v>46661</v>
      </c>
      <c r="H1424" s="83">
        <v>10</v>
      </c>
      <c r="I1424" s="127"/>
    </row>
    <row r="1425" spans="1:9">
      <c r="A1425" s="83" t="s">
        <v>127</v>
      </c>
      <c r="B1425" s="114" t="s">
        <v>118</v>
      </c>
      <c r="C1425" s="115"/>
      <c r="D1425" s="83" t="s">
        <v>92</v>
      </c>
      <c r="E1425" s="83"/>
      <c r="F1425" s="85">
        <f>WORKDAY(F1422,3)</f>
        <v>46650</v>
      </c>
      <c r="G1425" s="85">
        <f t="shared" si="186"/>
        <v>46661</v>
      </c>
      <c r="H1425" s="83">
        <v>10</v>
      </c>
      <c r="I1425" s="127"/>
    </row>
    <row r="1426" spans="1:9">
      <c r="A1426" s="83" t="s">
        <v>127</v>
      </c>
      <c r="B1426" s="114" t="s">
        <v>118</v>
      </c>
      <c r="C1426" s="115"/>
      <c r="D1426" s="83" t="s">
        <v>93</v>
      </c>
      <c r="E1426" s="83"/>
      <c r="F1426" s="85">
        <f>WORKDAY(F1422,3)</f>
        <v>46650</v>
      </c>
      <c r="G1426" s="85">
        <f t="shared" si="186"/>
        <v>46661</v>
      </c>
      <c r="H1426" s="83">
        <v>10</v>
      </c>
      <c r="I1426" s="127"/>
    </row>
    <row r="1427" spans="1:9">
      <c r="A1427" s="83" t="s">
        <v>127</v>
      </c>
      <c r="B1427" s="114" t="s">
        <v>118</v>
      </c>
      <c r="C1427" s="115"/>
      <c r="D1427" s="83" t="s">
        <v>94</v>
      </c>
      <c r="E1427" s="83"/>
      <c r="F1427" s="85">
        <f>WORKDAY(F1422,3)</f>
        <v>46650</v>
      </c>
      <c r="G1427" s="85">
        <f t="shared" si="186"/>
        <v>46661</v>
      </c>
      <c r="H1427" s="83">
        <v>10</v>
      </c>
      <c r="I1427" s="83">
        <v>1</v>
      </c>
    </row>
    <row r="1428" spans="1:9">
      <c r="A1428" s="86" t="s">
        <v>127</v>
      </c>
      <c r="B1428" s="116" t="s">
        <v>118</v>
      </c>
      <c r="C1428" s="117"/>
      <c r="D1428" s="86" t="s">
        <v>95</v>
      </c>
      <c r="E1428" s="86"/>
      <c r="F1428" s="88">
        <f>WORKDAY(F1427,3)</f>
        <v>46653</v>
      </c>
      <c r="G1428" s="88">
        <f t="shared" si="186"/>
        <v>46661</v>
      </c>
      <c r="H1428" s="86">
        <v>7</v>
      </c>
      <c r="I1428" s="86">
        <v>0</v>
      </c>
    </row>
    <row r="1429" spans="1:9">
      <c r="A1429" s="89" t="s">
        <v>127</v>
      </c>
      <c r="B1429" s="89" t="s">
        <v>118</v>
      </c>
      <c r="C1429" s="90"/>
      <c r="D1429" s="89" t="s">
        <v>96</v>
      </c>
      <c r="E1429" s="89"/>
      <c r="F1429" s="91">
        <f>WORKDAY(F1428,2)</f>
        <v>46657</v>
      </c>
      <c r="G1429" s="91">
        <f t="shared" si="186"/>
        <v>46668</v>
      </c>
      <c r="H1429" s="89">
        <v>10</v>
      </c>
      <c r="I1429" s="89">
        <v>2</v>
      </c>
    </row>
    <row r="1430" spans="1:9">
      <c r="A1430" s="89" t="s">
        <v>127</v>
      </c>
      <c r="B1430" s="89" t="s">
        <v>118</v>
      </c>
      <c r="C1430" s="90"/>
      <c r="D1430" s="89" t="s">
        <v>98</v>
      </c>
      <c r="E1430" s="89"/>
      <c r="F1430" s="91">
        <f>WORKDAY(F1428,2)</f>
        <v>46657</v>
      </c>
      <c r="G1430" s="91">
        <f t="shared" si="186"/>
        <v>46668</v>
      </c>
      <c r="H1430" s="89">
        <v>10</v>
      </c>
      <c r="I1430" s="89">
        <v>9</v>
      </c>
    </row>
    <row r="1431" spans="1:9">
      <c r="A1431" s="89" t="s">
        <v>127</v>
      </c>
      <c r="B1431" s="89" t="s">
        <v>118</v>
      </c>
      <c r="C1431" s="90"/>
      <c r="D1431" s="89" t="s">
        <v>101</v>
      </c>
      <c r="E1431" s="89"/>
      <c r="F1431" s="91">
        <f>WORKDAY(F1428,2)</f>
        <v>46657</v>
      </c>
      <c r="G1431" s="91">
        <f t="shared" si="186"/>
        <v>46668</v>
      </c>
      <c r="H1431" s="89">
        <v>10</v>
      </c>
      <c r="I1431" s="89">
        <v>0</v>
      </c>
    </row>
    <row r="1432" spans="1:9">
      <c r="A1432" s="38" t="s">
        <v>127</v>
      </c>
      <c r="B1432" s="38" t="s">
        <v>118</v>
      </c>
      <c r="C1432" s="92"/>
      <c r="D1432" s="38" t="s">
        <v>103</v>
      </c>
      <c r="E1432" s="38"/>
      <c r="F1432" s="93">
        <f>WORKDAY(G1430,-4)</f>
        <v>46664</v>
      </c>
      <c r="G1432" s="93">
        <f t="shared" si="186"/>
        <v>46666</v>
      </c>
      <c r="H1432" s="38">
        <v>3</v>
      </c>
      <c r="I1432" s="38">
        <v>0</v>
      </c>
    </row>
    <row r="1433" spans="1:9">
      <c r="A1433" s="38" t="s">
        <v>127</v>
      </c>
      <c r="B1433" s="38" t="s">
        <v>118</v>
      </c>
      <c r="C1433" s="92"/>
      <c r="D1433" s="38" t="s">
        <v>106</v>
      </c>
      <c r="E1433" s="38"/>
      <c r="F1433" s="93">
        <f>WORKDAY(G1430,-4)</f>
        <v>46664</v>
      </c>
      <c r="G1433" s="93">
        <f t="shared" si="186"/>
        <v>46675</v>
      </c>
      <c r="H1433" s="38">
        <v>10</v>
      </c>
      <c r="I1433" s="38">
        <v>10</v>
      </c>
    </row>
    <row r="1434" spans="1:9">
      <c r="A1434" s="38" t="s">
        <v>127</v>
      </c>
      <c r="B1434" s="38" t="s">
        <v>118</v>
      </c>
      <c r="C1434" s="92"/>
      <c r="D1434" s="38" t="s">
        <v>108</v>
      </c>
      <c r="E1434" s="38"/>
      <c r="F1434" s="93">
        <f>WORKDAY(G1430,-4)</f>
        <v>46664</v>
      </c>
      <c r="G1434" s="93">
        <f t="shared" si="186"/>
        <v>46675</v>
      </c>
      <c r="H1434" s="38">
        <v>10</v>
      </c>
      <c r="I1434" s="38">
        <v>6</v>
      </c>
    </row>
    <row r="1435" spans="1:9">
      <c r="A1435" s="94" t="s">
        <v>127</v>
      </c>
      <c r="B1435" s="94" t="s">
        <v>118</v>
      </c>
      <c r="C1435" s="95"/>
      <c r="D1435" s="96" t="s">
        <v>109</v>
      </c>
      <c r="E1435" s="96"/>
      <c r="F1435" s="97">
        <f>WORKDAY(G1430,1)</f>
        <v>46671</v>
      </c>
      <c r="G1435" s="97">
        <f t="shared" si="186"/>
        <v>46682</v>
      </c>
      <c r="H1435" s="94">
        <v>10</v>
      </c>
      <c r="I1435" s="94">
        <v>0</v>
      </c>
    </row>
    <row r="1436" spans="1:9">
      <c r="A1436" s="94" t="s">
        <v>127</v>
      </c>
      <c r="B1436" s="94" t="s">
        <v>118</v>
      </c>
      <c r="C1436" s="95"/>
      <c r="D1436" s="96" t="s">
        <v>112</v>
      </c>
      <c r="E1436" s="96"/>
      <c r="F1436" s="97">
        <f>WORKDAY(G1430,1)</f>
        <v>46671</v>
      </c>
      <c r="G1436" s="97">
        <f t="shared" si="186"/>
        <v>46682</v>
      </c>
      <c r="H1436" s="94">
        <v>10</v>
      </c>
      <c r="I1436" s="94">
        <v>0</v>
      </c>
    </row>
    <row r="1437" spans="1:9">
      <c r="A1437" s="77" t="s">
        <v>127</v>
      </c>
      <c r="B1437" s="77" t="s">
        <v>118</v>
      </c>
      <c r="C1437" s="98"/>
      <c r="D1437" s="77" t="s">
        <v>113</v>
      </c>
      <c r="E1437" s="77"/>
      <c r="F1437" s="44">
        <f>WORKDAY(G1435,-4)</f>
        <v>46678</v>
      </c>
      <c r="G1437" s="44">
        <f t="shared" si="186"/>
        <v>46682</v>
      </c>
      <c r="H1437" s="77">
        <v>5</v>
      </c>
      <c r="I1437" s="77">
        <v>1</v>
      </c>
    </row>
    <row r="1438" spans="1:9">
      <c r="A1438" s="77" t="s">
        <v>127</v>
      </c>
      <c r="B1438" s="77" t="s">
        <v>118</v>
      </c>
      <c r="C1438" s="98"/>
      <c r="D1438" s="77" t="s">
        <v>116</v>
      </c>
      <c r="E1438" s="77"/>
      <c r="F1438" s="44">
        <f>WORKDAY(G1435,-4)</f>
        <v>46678</v>
      </c>
      <c r="G1438" s="44">
        <f t="shared" si="186"/>
        <v>46682</v>
      </c>
      <c r="H1438" s="77">
        <v>5</v>
      </c>
      <c r="I1438" s="77">
        <v>0</v>
      </c>
    </row>
    <row r="1439" spans="1:9">
      <c r="A1439" s="5" t="s">
        <v>127</v>
      </c>
      <c r="B1439" s="99" t="s">
        <v>119</v>
      </c>
      <c r="C1439" s="100"/>
      <c r="D1439" s="6" t="s">
        <v>11</v>
      </c>
      <c r="E1439" s="6"/>
      <c r="F1439" s="8">
        <f>WORKDAY(G1388,1)</f>
        <v>46524</v>
      </c>
      <c r="G1439" s="8">
        <f>WORKDAY(F1439,H1439-1,)</f>
        <v>46535</v>
      </c>
      <c r="H1439" s="6">
        <v>10</v>
      </c>
      <c r="I1439" s="6">
        <v>0</v>
      </c>
    </row>
    <row r="1440" spans="1:9">
      <c r="A1440" s="5" t="s">
        <v>127</v>
      </c>
      <c r="B1440" s="99" t="s">
        <v>119</v>
      </c>
      <c r="C1440" s="100"/>
      <c r="D1440" s="6" t="s">
        <v>13</v>
      </c>
      <c r="E1440" s="6"/>
      <c r="F1440" s="8">
        <f>WORKDAY(G1388,1)</f>
        <v>46524</v>
      </c>
      <c r="G1440" s="8">
        <f t="shared" ref="G1440" si="188">WORKDAY(F1440,H1440-1,)</f>
        <v>46535</v>
      </c>
      <c r="H1440" s="6">
        <v>10</v>
      </c>
      <c r="I1440" s="6">
        <v>0</v>
      </c>
    </row>
    <row r="1441" spans="1:9">
      <c r="A1441" s="5" t="s">
        <v>127</v>
      </c>
      <c r="B1441" s="99" t="s">
        <v>119</v>
      </c>
      <c r="C1441" s="100"/>
      <c r="D1441" s="6" t="s">
        <v>15</v>
      </c>
      <c r="E1441" s="6"/>
      <c r="F1441" s="8">
        <f>WORKDAY(G1387,1)</f>
        <v>46524</v>
      </c>
      <c r="G1441" s="8">
        <f>WORKDAY(F1441,H1441-1,)</f>
        <v>46535</v>
      </c>
      <c r="H1441" s="6">
        <v>10</v>
      </c>
      <c r="I1441" s="6">
        <v>0</v>
      </c>
    </row>
    <row r="1442" spans="1:9">
      <c r="A1442" s="5" t="s">
        <v>127</v>
      </c>
      <c r="B1442" s="99" t="s">
        <v>119</v>
      </c>
      <c r="C1442" s="100"/>
      <c r="D1442" s="6" t="s">
        <v>120</v>
      </c>
      <c r="E1442" s="6"/>
      <c r="F1442" s="8">
        <f>WORKDAY(G1388,1)</f>
        <v>46524</v>
      </c>
      <c r="G1442" s="8">
        <f>WORKDAY(F1442,H1442-1,)</f>
        <v>46535</v>
      </c>
      <c r="H1442" s="6">
        <v>10</v>
      </c>
      <c r="I1442" s="6">
        <v>0</v>
      </c>
    </row>
    <row r="1443" spans="1:9">
      <c r="A1443" s="11" t="s">
        <v>127</v>
      </c>
      <c r="B1443" s="101" t="s">
        <v>119</v>
      </c>
      <c r="C1443" s="102"/>
      <c r="D1443" s="11" t="s">
        <v>16</v>
      </c>
      <c r="E1443" s="11"/>
      <c r="F1443" s="12">
        <f>WORKDAY(G1442,-4)</f>
        <v>46531</v>
      </c>
      <c r="G1443" s="12">
        <f t="shared" ref="G1443:G1450" si="189">WORKDAY(F1443,H1443-1,)</f>
        <v>46542</v>
      </c>
      <c r="H1443" s="11">
        <v>10</v>
      </c>
      <c r="I1443" s="11">
        <v>0</v>
      </c>
    </row>
    <row r="1444" spans="1:9">
      <c r="A1444" s="11" t="s">
        <v>127</v>
      </c>
      <c r="B1444" s="101" t="s">
        <v>119</v>
      </c>
      <c r="C1444" s="102"/>
      <c r="D1444" s="11" t="s">
        <v>18</v>
      </c>
      <c r="E1444" s="11"/>
      <c r="F1444" s="12">
        <f>WORKDAY(G1442,-4)</f>
        <v>46531</v>
      </c>
      <c r="G1444" s="12">
        <f t="shared" si="189"/>
        <v>46542</v>
      </c>
      <c r="H1444" s="11">
        <v>10</v>
      </c>
      <c r="I1444" s="13">
        <v>0</v>
      </c>
    </row>
    <row r="1445" spans="1:9">
      <c r="A1445" s="11" t="s">
        <v>127</v>
      </c>
      <c r="B1445" s="101" t="s">
        <v>119</v>
      </c>
      <c r="C1445" s="102"/>
      <c r="D1445" s="11" t="s">
        <v>21</v>
      </c>
      <c r="E1445" s="11"/>
      <c r="F1445" s="12">
        <f>WORKDAY(G1442,-4)</f>
        <v>46531</v>
      </c>
      <c r="G1445" s="12">
        <f t="shared" si="189"/>
        <v>46542</v>
      </c>
      <c r="H1445" s="11">
        <v>10</v>
      </c>
      <c r="I1445" s="11">
        <v>3</v>
      </c>
    </row>
    <row r="1446" spans="1:9">
      <c r="A1446" s="11" t="s">
        <v>127</v>
      </c>
      <c r="B1446" s="101" t="s">
        <v>119</v>
      </c>
      <c r="C1446" s="102"/>
      <c r="D1446" s="11" t="s">
        <v>24</v>
      </c>
      <c r="E1446" s="11"/>
      <c r="F1446" s="12">
        <f>WORKDAY(G1442,-4)</f>
        <v>46531</v>
      </c>
      <c r="G1446" s="12">
        <f t="shared" si="189"/>
        <v>46542</v>
      </c>
      <c r="H1446" s="11">
        <v>10</v>
      </c>
      <c r="I1446" s="11">
        <v>0</v>
      </c>
    </row>
    <row r="1447" spans="1:9">
      <c r="A1447" s="17" t="s">
        <v>127</v>
      </c>
      <c r="B1447" s="103" t="s">
        <v>119</v>
      </c>
      <c r="C1447" s="104"/>
      <c r="D1447" s="17" t="s">
        <v>26</v>
      </c>
      <c r="E1447" s="17"/>
      <c r="F1447" s="18">
        <f>WORKDAY(G1446,-4)</f>
        <v>46538</v>
      </c>
      <c r="G1447" s="18">
        <f t="shared" si="189"/>
        <v>46549</v>
      </c>
      <c r="H1447" s="17">
        <v>10</v>
      </c>
      <c r="I1447" s="17">
        <v>2</v>
      </c>
    </row>
    <row r="1448" spans="1:9">
      <c r="A1448" s="21" t="s">
        <v>127</v>
      </c>
      <c r="B1448" s="21" t="s">
        <v>119</v>
      </c>
      <c r="C1448" s="20"/>
      <c r="D1448" s="21" t="s">
        <v>29</v>
      </c>
      <c r="E1448" s="21"/>
      <c r="F1448" s="22">
        <f>WORKDAY(F1447,5)</f>
        <v>46545</v>
      </c>
      <c r="G1448" s="22">
        <f t="shared" si="189"/>
        <v>46549</v>
      </c>
      <c r="H1448" s="21">
        <v>5</v>
      </c>
      <c r="I1448" s="21">
        <v>4</v>
      </c>
    </row>
    <row r="1449" spans="1:9">
      <c r="A1449" s="21" t="s">
        <v>127</v>
      </c>
      <c r="B1449" s="21" t="s">
        <v>119</v>
      </c>
      <c r="C1449" s="20"/>
      <c r="D1449" s="21" t="s">
        <v>32</v>
      </c>
      <c r="E1449" s="21"/>
      <c r="F1449" s="22">
        <f>WORKDAY(G1447,1)</f>
        <v>46552</v>
      </c>
      <c r="G1449" s="22">
        <f t="shared" si="189"/>
        <v>46556</v>
      </c>
      <c r="H1449" s="21">
        <v>5</v>
      </c>
      <c r="I1449" s="21">
        <v>0</v>
      </c>
    </row>
    <row r="1450" spans="1:9">
      <c r="A1450" s="21" t="s">
        <v>127</v>
      </c>
      <c r="B1450" s="21" t="s">
        <v>119</v>
      </c>
      <c r="C1450" s="20"/>
      <c r="D1450" s="21" t="s">
        <v>34</v>
      </c>
      <c r="E1450" s="21"/>
      <c r="F1450" s="22">
        <f>WORKDAY(G1444,1)</f>
        <v>46545</v>
      </c>
      <c r="G1450" s="22">
        <f t="shared" si="189"/>
        <v>46556</v>
      </c>
      <c r="H1450" s="21">
        <v>10</v>
      </c>
      <c r="I1450" s="21">
        <v>1</v>
      </c>
    </row>
    <row r="1451" spans="1:9">
      <c r="A1451" s="31" t="s">
        <v>127</v>
      </c>
      <c r="B1451" s="31" t="s">
        <v>119</v>
      </c>
      <c r="C1451" s="30"/>
      <c r="D1451" s="31" t="s">
        <v>37</v>
      </c>
      <c r="E1451" s="31"/>
      <c r="F1451" s="32">
        <f>WORKDAY(G1450,1)</f>
        <v>46559</v>
      </c>
      <c r="G1451" s="32">
        <f>WORKDAY(F1451,H1451-1,)</f>
        <v>46570</v>
      </c>
      <c r="H1451" s="31">
        <v>10</v>
      </c>
      <c r="I1451" s="128">
        <v>2</v>
      </c>
    </row>
    <row r="1452" spans="1:9">
      <c r="A1452" s="31" t="s">
        <v>127</v>
      </c>
      <c r="B1452" s="31" t="s">
        <v>119</v>
      </c>
      <c r="C1452" s="30"/>
      <c r="D1452" s="31" t="s">
        <v>40</v>
      </c>
      <c r="E1452" s="31"/>
      <c r="F1452" s="32">
        <f>WORKDAY(G1450,1)</f>
        <v>46559</v>
      </c>
      <c r="G1452" s="32">
        <f t="shared" ref="G1452:G1464" si="190">WORKDAY(F1452,H1452-1,)</f>
        <v>46570</v>
      </c>
      <c r="H1452" s="31">
        <v>10</v>
      </c>
      <c r="I1452" s="128"/>
    </row>
    <row r="1453" spans="1:9">
      <c r="A1453" s="31" t="s">
        <v>127</v>
      </c>
      <c r="B1453" s="31" t="s">
        <v>119</v>
      </c>
      <c r="C1453" s="30"/>
      <c r="D1453" s="31" t="s">
        <v>42</v>
      </c>
      <c r="E1453" s="31"/>
      <c r="F1453" s="32">
        <f>WORKDAY(G1450,1)</f>
        <v>46559</v>
      </c>
      <c r="G1453" s="32">
        <f t="shared" si="190"/>
        <v>46570</v>
      </c>
      <c r="H1453" s="31">
        <v>10</v>
      </c>
      <c r="I1453" s="128"/>
    </row>
    <row r="1454" spans="1:9">
      <c r="A1454" s="31" t="s">
        <v>127</v>
      </c>
      <c r="B1454" s="31" t="s">
        <v>119</v>
      </c>
      <c r="C1454" s="30"/>
      <c r="D1454" s="31" t="s">
        <v>44</v>
      </c>
      <c r="E1454" s="31"/>
      <c r="F1454" s="32">
        <f>WORKDAY(G1450,1)</f>
        <v>46559</v>
      </c>
      <c r="G1454" s="32">
        <f t="shared" si="190"/>
        <v>46570</v>
      </c>
      <c r="H1454" s="31">
        <v>10</v>
      </c>
      <c r="I1454" s="128"/>
    </row>
    <row r="1455" spans="1:9">
      <c r="A1455" s="31" t="s">
        <v>127</v>
      </c>
      <c r="B1455" s="31" t="s">
        <v>119</v>
      </c>
      <c r="C1455" s="30"/>
      <c r="D1455" s="31" t="s">
        <v>45</v>
      </c>
      <c r="E1455" s="31"/>
      <c r="F1455" s="32">
        <f>WORKDAY(G1450,1)</f>
        <v>46559</v>
      </c>
      <c r="G1455" s="32">
        <f t="shared" si="190"/>
        <v>46570</v>
      </c>
      <c r="H1455" s="31">
        <v>10</v>
      </c>
      <c r="I1455" s="31">
        <v>5</v>
      </c>
    </row>
    <row r="1456" spans="1:9">
      <c r="A1456" s="25" t="s">
        <v>127</v>
      </c>
      <c r="B1456" s="25" t="s">
        <v>119</v>
      </c>
      <c r="C1456" s="105"/>
      <c r="D1456" s="26" t="s">
        <v>47</v>
      </c>
      <c r="E1456" s="26"/>
      <c r="F1456" s="27">
        <f>WORKDAY(G1455,-4)</f>
        <v>46566</v>
      </c>
      <c r="G1456" s="28">
        <f t="shared" si="190"/>
        <v>46577</v>
      </c>
      <c r="H1456" s="26">
        <v>10</v>
      </c>
      <c r="I1456" s="26">
        <v>8</v>
      </c>
    </row>
    <row r="1457" spans="1:9">
      <c r="A1457" s="77" t="s">
        <v>127</v>
      </c>
      <c r="B1457" s="77" t="s">
        <v>119</v>
      </c>
      <c r="C1457" s="98"/>
      <c r="D1457" s="42" t="s">
        <v>50</v>
      </c>
      <c r="E1457" s="42"/>
      <c r="F1457" s="43">
        <f>WORKDAY(G1455,1)</f>
        <v>46573</v>
      </c>
      <c r="G1457" s="44">
        <f t="shared" si="190"/>
        <v>46573</v>
      </c>
      <c r="H1457" s="42">
        <v>1</v>
      </c>
      <c r="I1457" s="42">
        <v>0</v>
      </c>
    </row>
    <row r="1458" spans="1:9">
      <c r="A1458" s="21" t="s">
        <v>127</v>
      </c>
      <c r="B1458" s="21" t="s">
        <v>119</v>
      </c>
      <c r="C1458" s="20"/>
      <c r="D1458" s="47" t="s">
        <v>52</v>
      </c>
      <c r="E1458" s="47"/>
      <c r="F1458" s="48">
        <f>WORKDAY(G1456,1)</f>
        <v>46580</v>
      </c>
      <c r="G1458" s="22">
        <f t="shared" si="190"/>
        <v>46591</v>
      </c>
      <c r="H1458" s="47">
        <v>10</v>
      </c>
      <c r="I1458" s="47">
        <v>5</v>
      </c>
    </row>
    <row r="1459" spans="1:9">
      <c r="A1459" s="21" t="s">
        <v>127</v>
      </c>
      <c r="B1459" s="21" t="s">
        <v>119</v>
      </c>
      <c r="C1459" s="20"/>
      <c r="D1459" s="49" t="s">
        <v>55</v>
      </c>
      <c r="E1459" s="49"/>
      <c r="F1459" s="48">
        <f>WORKDAY(G1456,1)</f>
        <v>46580</v>
      </c>
      <c r="G1459" s="22">
        <f t="shared" si="190"/>
        <v>46591</v>
      </c>
      <c r="H1459" s="47">
        <v>10</v>
      </c>
      <c r="I1459" s="47">
        <v>0</v>
      </c>
    </row>
    <row r="1460" spans="1:9">
      <c r="A1460" s="52" t="s">
        <v>127</v>
      </c>
      <c r="B1460" s="110" t="s">
        <v>119</v>
      </c>
      <c r="C1460" s="111"/>
      <c r="D1460" s="52" t="s">
        <v>56</v>
      </c>
      <c r="E1460" s="52"/>
      <c r="F1460" s="53">
        <f t="shared" ref="F1460" si="191">WORKDAY(G1459,1)</f>
        <v>46594</v>
      </c>
      <c r="G1460" s="53">
        <f t="shared" si="190"/>
        <v>46605</v>
      </c>
      <c r="H1460" s="52">
        <v>10</v>
      </c>
      <c r="I1460" s="52">
        <v>4</v>
      </c>
    </row>
    <row r="1461" spans="1:9">
      <c r="A1461" s="52" t="s">
        <v>127</v>
      </c>
      <c r="B1461" s="110" t="s">
        <v>119</v>
      </c>
      <c r="C1461" s="111"/>
      <c r="D1461" s="52" t="s">
        <v>59</v>
      </c>
      <c r="E1461" s="52"/>
      <c r="F1461" s="53">
        <f>WORKDAY(G1459,1)</f>
        <v>46594</v>
      </c>
      <c r="G1461" s="53">
        <f t="shared" si="190"/>
        <v>46594</v>
      </c>
      <c r="H1461" s="52">
        <v>1</v>
      </c>
      <c r="I1461" s="52">
        <v>0</v>
      </c>
    </row>
    <row r="1462" spans="1:9">
      <c r="A1462" s="124" t="s">
        <v>127</v>
      </c>
      <c r="B1462" s="112" t="s">
        <v>119</v>
      </c>
      <c r="C1462" s="113"/>
      <c r="D1462" s="56" t="s">
        <v>62</v>
      </c>
      <c r="E1462" s="56"/>
      <c r="F1462" s="57">
        <f>WORKDAY(G1460,-4)</f>
        <v>46601</v>
      </c>
      <c r="G1462" s="57">
        <f t="shared" si="190"/>
        <v>46612</v>
      </c>
      <c r="H1462" s="56">
        <v>10</v>
      </c>
      <c r="I1462" s="56">
        <v>0</v>
      </c>
    </row>
    <row r="1463" spans="1:9">
      <c r="A1463" s="124" t="s">
        <v>127</v>
      </c>
      <c r="B1463" s="112" t="s">
        <v>119</v>
      </c>
      <c r="C1463" s="113"/>
      <c r="D1463" s="56" t="s">
        <v>64</v>
      </c>
      <c r="E1463" s="56"/>
      <c r="F1463" s="57">
        <f>WORKDAY(F1462,1)</f>
        <v>46602</v>
      </c>
      <c r="G1463" s="57">
        <f t="shared" si="190"/>
        <v>46612</v>
      </c>
      <c r="H1463" s="56">
        <v>9</v>
      </c>
      <c r="I1463" s="56">
        <v>0</v>
      </c>
    </row>
    <row r="1464" spans="1:9">
      <c r="A1464" s="31" t="s">
        <v>127</v>
      </c>
      <c r="B1464" s="31" t="s">
        <v>119</v>
      </c>
      <c r="C1464" s="30"/>
      <c r="D1464" s="58" t="s">
        <v>65</v>
      </c>
      <c r="E1464" s="58"/>
      <c r="F1464" s="59">
        <f>WORKDAY(G1462,1)</f>
        <v>46615</v>
      </c>
      <c r="G1464" s="32">
        <f t="shared" si="190"/>
        <v>46626</v>
      </c>
      <c r="H1464" s="58">
        <v>10</v>
      </c>
      <c r="I1464" s="58">
        <v>2</v>
      </c>
    </row>
    <row r="1465" spans="1:9">
      <c r="A1465" s="106" t="s">
        <v>127</v>
      </c>
      <c r="B1465" s="107" t="s">
        <v>119</v>
      </c>
      <c r="C1465" s="108"/>
      <c r="D1465" s="64" t="s">
        <v>68</v>
      </c>
      <c r="E1465" s="64"/>
      <c r="F1465" s="65">
        <f>WORKDAY(G1464,1)</f>
        <v>46629</v>
      </c>
      <c r="G1465" s="65">
        <f>WORKDAY(F1465,H1465-1,)</f>
        <v>46640</v>
      </c>
      <c r="H1465" s="64">
        <v>10</v>
      </c>
      <c r="I1465" s="129">
        <v>2</v>
      </c>
    </row>
    <row r="1466" spans="1:9">
      <c r="A1466" s="106" t="s">
        <v>127</v>
      </c>
      <c r="B1466" s="107" t="s">
        <v>119</v>
      </c>
      <c r="C1466" s="108"/>
      <c r="D1466" s="64" t="s">
        <v>71</v>
      </c>
      <c r="E1466" s="64"/>
      <c r="F1466" s="65">
        <f>WORKDAY(G1464,1)</f>
        <v>46629</v>
      </c>
      <c r="G1466" s="65">
        <f t="shared" ref="G1466:G1468" si="192">WORKDAY(F1465,H1465-1,)</f>
        <v>46640</v>
      </c>
      <c r="H1466" s="64">
        <v>10</v>
      </c>
      <c r="I1466" s="129"/>
    </row>
    <row r="1467" spans="1:9">
      <c r="A1467" s="106" t="s">
        <v>127</v>
      </c>
      <c r="B1467" s="107" t="s">
        <v>119</v>
      </c>
      <c r="C1467" s="108"/>
      <c r="D1467" s="64" t="s">
        <v>72</v>
      </c>
      <c r="E1467" s="64"/>
      <c r="F1467" s="65">
        <f>WORKDAY(G1464,1)</f>
        <v>46629</v>
      </c>
      <c r="G1467" s="65">
        <f t="shared" si="192"/>
        <v>46640</v>
      </c>
      <c r="H1467" s="64">
        <v>10</v>
      </c>
      <c r="I1467" s="129"/>
    </row>
    <row r="1468" spans="1:9">
      <c r="A1468" s="106" t="s">
        <v>127</v>
      </c>
      <c r="B1468" s="107" t="s">
        <v>119</v>
      </c>
      <c r="C1468" s="108"/>
      <c r="D1468" s="64" t="s">
        <v>73</v>
      </c>
      <c r="E1468" s="64"/>
      <c r="F1468" s="65">
        <f>WORKDAY(G1464,1)</f>
        <v>46629</v>
      </c>
      <c r="G1468" s="65">
        <f t="shared" si="192"/>
        <v>46640</v>
      </c>
      <c r="H1468" s="64">
        <v>10</v>
      </c>
      <c r="I1468" s="129"/>
    </row>
    <row r="1469" spans="1:9">
      <c r="A1469" s="107" t="s">
        <v>127</v>
      </c>
      <c r="B1469" s="107" t="s">
        <v>119</v>
      </c>
      <c r="C1469" s="108"/>
      <c r="D1469" s="64" t="s">
        <v>74</v>
      </c>
      <c r="E1469" s="64"/>
      <c r="F1469" s="65">
        <f>WORKDAY(G1464,1)</f>
        <v>46629</v>
      </c>
      <c r="G1469" s="66">
        <f>WORKDAY(F1469,H1469-1,)</f>
        <v>46640</v>
      </c>
      <c r="H1469" s="64">
        <v>10</v>
      </c>
      <c r="I1469" s="64">
        <v>3</v>
      </c>
    </row>
    <row r="1470" spans="1:9">
      <c r="A1470" s="107" t="s">
        <v>127</v>
      </c>
      <c r="B1470" s="107" t="s">
        <v>119</v>
      </c>
      <c r="C1470" s="108"/>
      <c r="D1470" s="64" t="s">
        <v>77</v>
      </c>
      <c r="E1470" s="64"/>
      <c r="F1470" s="65">
        <f>WORKDAY(G1464,1)</f>
        <v>46629</v>
      </c>
      <c r="G1470" s="66">
        <f t="shared" ref="G1470:G1492" si="193">WORKDAY(F1470,H1470-1,)</f>
        <v>46640</v>
      </c>
      <c r="H1470" s="64">
        <v>10</v>
      </c>
      <c r="I1470" s="64">
        <v>0</v>
      </c>
    </row>
    <row r="1471" spans="1:9">
      <c r="A1471" s="107" t="s">
        <v>127</v>
      </c>
      <c r="B1471" s="107" t="s">
        <v>119</v>
      </c>
      <c r="C1471" s="108"/>
      <c r="D1471" s="64" t="s">
        <v>80</v>
      </c>
      <c r="E1471" s="64"/>
      <c r="F1471" s="65">
        <f>WORKDAY(G1464,1)</f>
        <v>46629</v>
      </c>
      <c r="G1471" s="66">
        <f t="shared" si="193"/>
        <v>46640</v>
      </c>
      <c r="H1471" s="64">
        <v>10</v>
      </c>
      <c r="I1471" s="64">
        <v>0</v>
      </c>
    </row>
    <row r="1472" spans="1:9">
      <c r="A1472" s="107" t="s">
        <v>127</v>
      </c>
      <c r="B1472" s="107" t="s">
        <v>119</v>
      </c>
      <c r="C1472" s="108"/>
      <c r="D1472" s="64" t="s">
        <v>81</v>
      </c>
      <c r="E1472" s="64"/>
      <c r="F1472" s="65">
        <f>WORKDAY(G1464,1)</f>
        <v>46629</v>
      </c>
      <c r="G1472" s="66">
        <f t="shared" si="193"/>
        <v>46640</v>
      </c>
      <c r="H1472" s="64">
        <v>10</v>
      </c>
      <c r="I1472" s="64">
        <v>6</v>
      </c>
    </row>
    <row r="1473" spans="1:9">
      <c r="A1473" s="70" t="s">
        <v>127</v>
      </c>
      <c r="B1473" s="119" t="s">
        <v>119</v>
      </c>
      <c r="C1473" s="120"/>
      <c r="D1473" s="70" t="s">
        <v>82</v>
      </c>
      <c r="E1473" s="70"/>
      <c r="F1473" s="71">
        <f t="shared" ref="F1473" si="194">WORKDAY(G1472,1)</f>
        <v>46643</v>
      </c>
      <c r="G1473" s="71">
        <f t="shared" si="193"/>
        <v>46654</v>
      </c>
      <c r="H1473" s="70">
        <v>10</v>
      </c>
      <c r="I1473" s="70">
        <v>4</v>
      </c>
    </row>
    <row r="1474" spans="1:9">
      <c r="A1474" s="77" t="s">
        <v>127</v>
      </c>
      <c r="B1474" s="77" t="s">
        <v>119</v>
      </c>
      <c r="C1474" s="98"/>
      <c r="D1474" s="75" t="s">
        <v>85</v>
      </c>
      <c r="E1474" s="75"/>
      <c r="F1474" s="76">
        <f>WORKDAY(G1473,-1)</f>
        <v>46653</v>
      </c>
      <c r="G1474" s="44">
        <f t="shared" si="193"/>
        <v>46657</v>
      </c>
      <c r="H1474" s="75">
        <v>3</v>
      </c>
      <c r="I1474" s="75">
        <v>6</v>
      </c>
    </row>
    <row r="1475" spans="1:9">
      <c r="A1475" s="77" t="s">
        <v>127</v>
      </c>
      <c r="B1475" s="77" t="s">
        <v>119</v>
      </c>
      <c r="C1475" s="98"/>
      <c r="D1475" s="75" t="s">
        <v>86</v>
      </c>
      <c r="E1475" s="75"/>
      <c r="F1475" s="76">
        <f>WORKDAY(G1473,1)</f>
        <v>46657</v>
      </c>
      <c r="G1475" s="44">
        <f t="shared" si="193"/>
        <v>46668</v>
      </c>
      <c r="H1475" s="75">
        <v>10</v>
      </c>
      <c r="I1475" s="75">
        <v>0</v>
      </c>
    </row>
    <row r="1476" spans="1:9">
      <c r="A1476" s="78" t="s">
        <v>127</v>
      </c>
      <c r="B1476" s="78" t="s">
        <v>119</v>
      </c>
      <c r="C1476" s="109"/>
      <c r="D1476" s="79" t="s">
        <v>87</v>
      </c>
      <c r="E1476" s="79"/>
      <c r="F1476" s="81">
        <f>WORKDAY(F1474,4)</f>
        <v>46659</v>
      </c>
      <c r="G1476" s="82">
        <f t="shared" si="193"/>
        <v>46672</v>
      </c>
      <c r="H1476" s="79">
        <v>10</v>
      </c>
      <c r="I1476" s="79">
        <v>4</v>
      </c>
    </row>
    <row r="1477" spans="1:9">
      <c r="A1477" s="83" t="s">
        <v>127</v>
      </c>
      <c r="B1477" s="114" t="s">
        <v>119</v>
      </c>
      <c r="C1477" s="115"/>
      <c r="D1477" s="83" t="s">
        <v>89</v>
      </c>
      <c r="E1477" s="83"/>
      <c r="F1477" s="85">
        <f>WORKDAY(F1476,3)</f>
        <v>46664</v>
      </c>
      <c r="G1477" s="85">
        <f t="shared" si="193"/>
        <v>46675</v>
      </c>
      <c r="H1477" s="83">
        <v>10</v>
      </c>
      <c r="I1477" s="127">
        <v>0</v>
      </c>
    </row>
    <row r="1478" spans="1:9">
      <c r="A1478" s="83" t="s">
        <v>127</v>
      </c>
      <c r="B1478" s="114" t="s">
        <v>119</v>
      </c>
      <c r="C1478" s="115"/>
      <c r="D1478" s="83" t="s">
        <v>91</v>
      </c>
      <c r="E1478" s="83"/>
      <c r="F1478" s="85">
        <f>WORKDAY(F1476,3)</f>
        <v>46664</v>
      </c>
      <c r="G1478" s="85">
        <f t="shared" si="193"/>
        <v>46675</v>
      </c>
      <c r="H1478" s="83">
        <v>10</v>
      </c>
      <c r="I1478" s="127"/>
    </row>
    <row r="1479" spans="1:9">
      <c r="A1479" s="83" t="s">
        <v>127</v>
      </c>
      <c r="B1479" s="114" t="s">
        <v>119</v>
      </c>
      <c r="C1479" s="115"/>
      <c r="D1479" s="83" t="s">
        <v>92</v>
      </c>
      <c r="E1479" s="83"/>
      <c r="F1479" s="85">
        <f>WORKDAY(F1476,3)</f>
        <v>46664</v>
      </c>
      <c r="G1479" s="85">
        <f t="shared" si="193"/>
        <v>46675</v>
      </c>
      <c r="H1479" s="83">
        <v>10</v>
      </c>
      <c r="I1479" s="127"/>
    </row>
    <row r="1480" spans="1:9">
      <c r="A1480" s="83" t="s">
        <v>127</v>
      </c>
      <c r="B1480" s="114" t="s">
        <v>119</v>
      </c>
      <c r="C1480" s="115"/>
      <c r="D1480" s="83" t="s">
        <v>93</v>
      </c>
      <c r="E1480" s="83"/>
      <c r="F1480" s="85">
        <f>WORKDAY(F1476,3)</f>
        <v>46664</v>
      </c>
      <c r="G1480" s="85">
        <f t="shared" si="193"/>
        <v>46675</v>
      </c>
      <c r="H1480" s="83">
        <v>10</v>
      </c>
      <c r="I1480" s="127"/>
    </row>
    <row r="1481" spans="1:9">
      <c r="A1481" s="83" t="s">
        <v>127</v>
      </c>
      <c r="B1481" s="114" t="s">
        <v>119</v>
      </c>
      <c r="C1481" s="115"/>
      <c r="D1481" s="83" t="s">
        <v>94</v>
      </c>
      <c r="E1481" s="83"/>
      <c r="F1481" s="85">
        <f>WORKDAY(F1476,3)</f>
        <v>46664</v>
      </c>
      <c r="G1481" s="85">
        <f t="shared" si="193"/>
        <v>46675</v>
      </c>
      <c r="H1481" s="83">
        <v>10</v>
      </c>
      <c r="I1481" s="83">
        <v>0</v>
      </c>
    </row>
    <row r="1482" spans="1:9">
      <c r="A1482" s="86" t="s">
        <v>127</v>
      </c>
      <c r="B1482" s="116" t="s">
        <v>119</v>
      </c>
      <c r="C1482" s="117"/>
      <c r="D1482" s="86" t="s">
        <v>95</v>
      </c>
      <c r="E1482" s="86"/>
      <c r="F1482" s="88">
        <f>WORKDAY(F1481,3)</f>
        <v>46667</v>
      </c>
      <c r="G1482" s="88">
        <f t="shared" si="193"/>
        <v>46675</v>
      </c>
      <c r="H1482" s="86">
        <v>7</v>
      </c>
      <c r="I1482" s="86">
        <v>0</v>
      </c>
    </row>
    <row r="1483" spans="1:9">
      <c r="A1483" s="89" t="s">
        <v>127</v>
      </c>
      <c r="B1483" s="89" t="s">
        <v>119</v>
      </c>
      <c r="C1483" s="90"/>
      <c r="D1483" s="89" t="s">
        <v>96</v>
      </c>
      <c r="E1483" s="89"/>
      <c r="F1483" s="91">
        <f>WORKDAY(F1482,2)</f>
        <v>46671</v>
      </c>
      <c r="G1483" s="91">
        <f t="shared" si="193"/>
        <v>46682</v>
      </c>
      <c r="H1483" s="89">
        <v>10</v>
      </c>
      <c r="I1483" s="89">
        <v>0</v>
      </c>
    </row>
    <row r="1484" spans="1:9">
      <c r="A1484" s="89" t="s">
        <v>127</v>
      </c>
      <c r="B1484" s="89" t="s">
        <v>119</v>
      </c>
      <c r="C1484" s="90"/>
      <c r="D1484" s="89" t="s">
        <v>98</v>
      </c>
      <c r="E1484" s="89"/>
      <c r="F1484" s="91">
        <f>WORKDAY(F1482,2)</f>
        <v>46671</v>
      </c>
      <c r="G1484" s="91">
        <f t="shared" si="193"/>
        <v>46682</v>
      </c>
      <c r="H1484" s="89">
        <v>10</v>
      </c>
      <c r="I1484" s="89">
        <v>4</v>
      </c>
    </row>
    <row r="1485" spans="1:9">
      <c r="A1485" s="89" t="s">
        <v>127</v>
      </c>
      <c r="B1485" s="89" t="s">
        <v>119</v>
      </c>
      <c r="C1485" s="90"/>
      <c r="D1485" s="89" t="s">
        <v>101</v>
      </c>
      <c r="E1485" s="89"/>
      <c r="F1485" s="91">
        <f>WORKDAY(F1482,2)</f>
        <v>46671</v>
      </c>
      <c r="G1485" s="91">
        <f t="shared" si="193"/>
        <v>46682</v>
      </c>
      <c r="H1485" s="89">
        <v>10</v>
      </c>
      <c r="I1485" s="89">
        <v>0</v>
      </c>
    </row>
    <row r="1486" spans="1:9">
      <c r="A1486" s="38" t="s">
        <v>127</v>
      </c>
      <c r="B1486" s="38" t="s">
        <v>119</v>
      </c>
      <c r="C1486" s="92"/>
      <c r="D1486" s="38" t="s">
        <v>103</v>
      </c>
      <c r="E1486" s="38"/>
      <c r="F1486" s="93">
        <f>WORKDAY(G1484,-4)</f>
        <v>46678</v>
      </c>
      <c r="G1486" s="93">
        <f t="shared" si="193"/>
        <v>46680</v>
      </c>
      <c r="H1486" s="38">
        <v>3</v>
      </c>
      <c r="I1486" s="38">
        <v>0</v>
      </c>
    </row>
    <row r="1487" spans="1:9">
      <c r="A1487" s="38" t="s">
        <v>127</v>
      </c>
      <c r="B1487" s="38" t="s">
        <v>119</v>
      </c>
      <c r="C1487" s="92"/>
      <c r="D1487" s="38" t="s">
        <v>106</v>
      </c>
      <c r="E1487" s="38"/>
      <c r="F1487" s="93">
        <f>WORKDAY(G1484,-4)</f>
        <v>46678</v>
      </c>
      <c r="G1487" s="93">
        <f t="shared" si="193"/>
        <v>46689</v>
      </c>
      <c r="H1487" s="38">
        <v>10</v>
      </c>
      <c r="I1487" s="38">
        <v>5</v>
      </c>
    </row>
    <row r="1488" spans="1:9">
      <c r="A1488" s="38" t="s">
        <v>127</v>
      </c>
      <c r="B1488" s="38" t="s">
        <v>119</v>
      </c>
      <c r="C1488" s="92"/>
      <c r="D1488" s="38" t="s">
        <v>108</v>
      </c>
      <c r="E1488" s="38"/>
      <c r="F1488" s="93">
        <f>WORKDAY(G1484,-4)</f>
        <v>46678</v>
      </c>
      <c r="G1488" s="93">
        <f t="shared" si="193"/>
        <v>46689</v>
      </c>
      <c r="H1488" s="38">
        <v>10</v>
      </c>
      <c r="I1488" s="38">
        <v>3</v>
      </c>
    </row>
    <row r="1489" spans="1:9">
      <c r="A1489" s="94" t="s">
        <v>127</v>
      </c>
      <c r="B1489" s="94" t="s">
        <v>119</v>
      </c>
      <c r="C1489" s="95"/>
      <c r="D1489" s="96" t="s">
        <v>109</v>
      </c>
      <c r="E1489" s="96"/>
      <c r="F1489" s="97">
        <f>WORKDAY(G1484,1)</f>
        <v>46685</v>
      </c>
      <c r="G1489" s="97">
        <f t="shared" si="193"/>
        <v>46696</v>
      </c>
      <c r="H1489" s="94">
        <v>10</v>
      </c>
      <c r="I1489" s="94">
        <v>0</v>
      </c>
    </row>
    <row r="1490" spans="1:9">
      <c r="A1490" s="94" t="s">
        <v>127</v>
      </c>
      <c r="B1490" s="94" t="s">
        <v>119</v>
      </c>
      <c r="C1490" s="95"/>
      <c r="D1490" s="96" t="s">
        <v>112</v>
      </c>
      <c r="E1490" s="96"/>
      <c r="F1490" s="97">
        <f>WORKDAY(G1484,1)</f>
        <v>46685</v>
      </c>
      <c r="G1490" s="97">
        <f t="shared" si="193"/>
        <v>46696</v>
      </c>
      <c r="H1490" s="94">
        <v>10</v>
      </c>
      <c r="I1490" s="94">
        <v>0</v>
      </c>
    </row>
    <row r="1491" spans="1:9">
      <c r="A1491" s="77" t="s">
        <v>127</v>
      </c>
      <c r="B1491" s="77" t="s">
        <v>119</v>
      </c>
      <c r="C1491" s="98"/>
      <c r="D1491" s="77" t="s">
        <v>113</v>
      </c>
      <c r="E1491" s="77"/>
      <c r="F1491" s="44">
        <f>WORKDAY(G1489,-4)</f>
        <v>46692</v>
      </c>
      <c r="G1491" s="44">
        <f t="shared" si="193"/>
        <v>46696</v>
      </c>
      <c r="H1491" s="77">
        <v>5</v>
      </c>
      <c r="I1491" s="77">
        <v>0</v>
      </c>
    </row>
    <row r="1492" spans="1:9">
      <c r="A1492" s="77" t="s">
        <v>127</v>
      </c>
      <c r="B1492" s="77" t="s">
        <v>119</v>
      </c>
      <c r="C1492" s="98"/>
      <c r="D1492" s="77" t="s">
        <v>116</v>
      </c>
      <c r="E1492" s="77"/>
      <c r="F1492" s="44">
        <f>WORKDAY(G1489,-4)</f>
        <v>46692</v>
      </c>
      <c r="G1492" s="44">
        <f t="shared" si="193"/>
        <v>46696</v>
      </c>
      <c r="H1492" s="77">
        <v>5</v>
      </c>
      <c r="I1492" s="77">
        <v>0</v>
      </c>
    </row>
    <row r="1493" spans="1:9">
      <c r="A1493" s="5" t="s">
        <v>128</v>
      </c>
      <c r="B1493" s="6" t="s">
        <v>10</v>
      </c>
      <c r="C1493" s="7"/>
      <c r="D1493" s="6" t="s">
        <v>11</v>
      </c>
      <c r="E1493" s="6"/>
      <c r="F1493" s="8">
        <f>WORKDAY(G1442,1)</f>
        <v>46538</v>
      </c>
      <c r="G1493" s="8">
        <f>WORKDAY(F1493,H1493-1,)</f>
        <v>46549</v>
      </c>
      <c r="H1493" s="6">
        <v>10</v>
      </c>
      <c r="I1493" s="6">
        <v>36</v>
      </c>
    </row>
    <row r="1494" spans="1:9">
      <c r="A1494" s="5" t="s">
        <v>128</v>
      </c>
      <c r="B1494" s="6" t="s">
        <v>10</v>
      </c>
      <c r="C1494" s="7"/>
      <c r="D1494" s="6" t="s">
        <v>13</v>
      </c>
      <c r="E1494" s="6"/>
      <c r="F1494" s="8">
        <f>WORKDAY(G1442,1)</f>
        <v>46538</v>
      </c>
      <c r="G1494" s="8">
        <f t="shared" ref="G1494" si="195">WORKDAY(F1494,H1494-1,)</f>
        <v>46549</v>
      </c>
      <c r="H1494" s="6">
        <v>10</v>
      </c>
      <c r="I1494" s="6">
        <v>1</v>
      </c>
    </row>
    <row r="1495" spans="1:9">
      <c r="A1495" s="5" t="s">
        <v>128</v>
      </c>
      <c r="B1495" s="6" t="s">
        <v>10</v>
      </c>
      <c r="C1495" s="7"/>
      <c r="D1495" s="6" t="s">
        <v>15</v>
      </c>
      <c r="E1495" s="6"/>
      <c r="F1495" s="8">
        <f>WORKDAY(G1442,1)</f>
        <v>46538</v>
      </c>
      <c r="G1495" s="8">
        <f>WORKDAY(F1495,H1495-1,)</f>
        <v>46549</v>
      </c>
      <c r="H1495" s="6">
        <v>10</v>
      </c>
      <c r="I1495" s="6">
        <v>1</v>
      </c>
    </row>
    <row r="1496" spans="1:9">
      <c r="A1496" s="11" t="s">
        <v>128</v>
      </c>
      <c r="B1496" s="11" t="s">
        <v>10</v>
      </c>
      <c r="C1496" s="10"/>
      <c r="D1496" s="11" t="s">
        <v>16</v>
      </c>
      <c r="E1496" s="11"/>
      <c r="F1496" s="12">
        <f>WORKDAY(G1495,-4)</f>
        <v>46545</v>
      </c>
      <c r="G1496" s="12">
        <f t="shared" ref="G1496:G1503" si="196">WORKDAY(F1496,H1496-1,)</f>
        <v>46556</v>
      </c>
      <c r="H1496" s="11">
        <v>10</v>
      </c>
      <c r="I1496" s="11">
        <v>5</v>
      </c>
    </row>
    <row r="1497" spans="1:9">
      <c r="A1497" s="11" t="s">
        <v>128</v>
      </c>
      <c r="B1497" s="11" t="s">
        <v>10</v>
      </c>
      <c r="C1497" s="10"/>
      <c r="D1497" s="11" t="s">
        <v>18</v>
      </c>
      <c r="E1497" s="11"/>
      <c r="F1497" s="12">
        <f>WORKDAY(G1495,-4)</f>
        <v>46545</v>
      </c>
      <c r="G1497" s="12">
        <f t="shared" si="196"/>
        <v>46556</v>
      </c>
      <c r="H1497" s="11">
        <v>10</v>
      </c>
      <c r="I1497" s="13">
        <v>4</v>
      </c>
    </row>
    <row r="1498" spans="1:9">
      <c r="A1498" s="11" t="s">
        <v>128</v>
      </c>
      <c r="B1498" s="11" t="s">
        <v>10</v>
      </c>
      <c r="C1498" s="10"/>
      <c r="D1498" s="11" t="s">
        <v>21</v>
      </c>
      <c r="E1498" s="11"/>
      <c r="F1498" s="12">
        <f>WORKDAY(G1495,-4)</f>
        <v>46545</v>
      </c>
      <c r="G1498" s="12">
        <f t="shared" si="196"/>
        <v>46556</v>
      </c>
      <c r="H1498" s="11">
        <v>10</v>
      </c>
      <c r="I1498" s="11">
        <v>3</v>
      </c>
    </row>
    <row r="1499" spans="1:9">
      <c r="A1499" s="11" t="s">
        <v>128</v>
      </c>
      <c r="B1499" s="11" t="s">
        <v>10</v>
      </c>
      <c r="C1499" s="10"/>
      <c r="D1499" s="11" t="s">
        <v>24</v>
      </c>
      <c r="E1499" s="11"/>
      <c r="F1499" s="12">
        <f>WORKDAY(G1495,-4)</f>
        <v>46545</v>
      </c>
      <c r="G1499" s="12">
        <f t="shared" si="196"/>
        <v>46556</v>
      </c>
      <c r="H1499" s="11">
        <v>10</v>
      </c>
      <c r="I1499" s="11">
        <v>0</v>
      </c>
    </row>
    <row r="1500" spans="1:9">
      <c r="A1500" s="17" t="s">
        <v>128</v>
      </c>
      <c r="B1500" s="17" t="s">
        <v>10</v>
      </c>
      <c r="C1500" s="16"/>
      <c r="D1500" s="17" t="s">
        <v>26</v>
      </c>
      <c r="E1500" s="17"/>
      <c r="F1500" s="18">
        <f>WORKDAY(G1499,-4)</f>
        <v>46552</v>
      </c>
      <c r="G1500" s="18">
        <f t="shared" si="196"/>
        <v>46563</v>
      </c>
      <c r="H1500" s="17">
        <v>10</v>
      </c>
      <c r="I1500" s="17">
        <v>2</v>
      </c>
    </row>
    <row r="1501" spans="1:9">
      <c r="A1501" s="21" t="s">
        <v>128</v>
      </c>
      <c r="B1501" s="21" t="s">
        <v>10</v>
      </c>
      <c r="C1501" s="20"/>
      <c r="D1501" s="21" t="s">
        <v>29</v>
      </c>
      <c r="E1501" s="21"/>
      <c r="F1501" s="22">
        <f>WORKDAY(F1500,5)</f>
        <v>46559</v>
      </c>
      <c r="G1501" s="22">
        <f t="shared" si="196"/>
        <v>46563</v>
      </c>
      <c r="H1501" s="21">
        <v>5</v>
      </c>
      <c r="I1501" s="21">
        <v>4</v>
      </c>
    </row>
    <row r="1502" spans="1:9">
      <c r="A1502" s="21" t="s">
        <v>128</v>
      </c>
      <c r="B1502" s="21" t="s">
        <v>10</v>
      </c>
      <c r="C1502" s="20"/>
      <c r="D1502" s="21" t="s">
        <v>32</v>
      </c>
      <c r="E1502" s="21"/>
      <c r="F1502" s="22">
        <f>WORKDAY(G1500,1)</f>
        <v>46566</v>
      </c>
      <c r="G1502" s="22">
        <f t="shared" si="196"/>
        <v>46570</v>
      </c>
      <c r="H1502" s="21">
        <v>5</v>
      </c>
      <c r="I1502" s="21">
        <v>1</v>
      </c>
    </row>
    <row r="1503" spans="1:9">
      <c r="A1503" s="21" t="s">
        <v>128</v>
      </c>
      <c r="B1503" s="21" t="s">
        <v>10</v>
      </c>
      <c r="C1503" s="20"/>
      <c r="D1503" s="21" t="s">
        <v>34</v>
      </c>
      <c r="E1503" s="21"/>
      <c r="F1503" s="22">
        <f>WORKDAY(G1497,1)</f>
        <v>46559</v>
      </c>
      <c r="G1503" s="22">
        <f t="shared" si="196"/>
        <v>46570</v>
      </c>
      <c r="H1503" s="21">
        <v>10</v>
      </c>
      <c r="I1503" s="21">
        <v>3</v>
      </c>
    </row>
    <row r="1504" spans="1:9">
      <c r="A1504" s="31" t="s">
        <v>128</v>
      </c>
      <c r="B1504" s="31" t="s">
        <v>10</v>
      </c>
      <c r="C1504" s="30"/>
      <c r="D1504" s="31" t="s">
        <v>37</v>
      </c>
      <c r="E1504" s="31"/>
      <c r="F1504" s="32">
        <f>WORKDAY(G1503,1)</f>
        <v>46573</v>
      </c>
      <c r="G1504" s="32">
        <f>WORKDAY(F1504,H1504-1,)</f>
        <v>46584</v>
      </c>
      <c r="H1504" s="31">
        <v>10</v>
      </c>
      <c r="I1504" s="128">
        <v>5</v>
      </c>
    </row>
    <row r="1505" spans="1:9">
      <c r="A1505" s="31" t="s">
        <v>128</v>
      </c>
      <c r="B1505" s="31" t="s">
        <v>10</v>
      </c>
      <c r="C1505" s="30"/>
      <c r="D1505" s="31" t="s">
        <v>40</v>
      </c>
      <c r="E1505" s="31"/>
      <c r="F1505" s="32">
        <f>WORKDAY(G1503,1)</f>
        <v>46573</v>
      </c>
      <c r="G1505" s="32">
        <f t="shared" ref="G1505:G1517" si="197">WORKDAY(F1505,H1505-1,)</f>
        <v>46584</v>
      </c>
      <c r="H1505" s="31">
        <v>10</v>
      </c>
      <c r="I1505" s="128"/>
    </row>
    <row r="1506" spans="1:9">
      <c r="A1506" s="31" t="s">
        <v>128</v>
      </c>
      <c r="B1506" s="31" t="s">
        <v>10</v>
      </c>
      <c r="C1506" s="30"/>
      <c r="D1506" s="31" t="s">
        <v>42</v>
      </c>
      <c r="E1506" s="31"/>
      <c r="F1506" s="32">
        <f>WORKDAY(G1503,1)</f>
        <v>46573</v>
      </c>
      <c r="G1506" s="32">
        <f t="shared" si="197"/>
        <v>46584</v>
      </c>
      <c r="H1506" s="31">
        <v>10</v>
      </c>
      <c r="I1506" s="128"/>
    </row>
    <row r="1507" spans="1:9">
      <c r="A1507" s="31" t="s">
        <v>128</v>
      </c>
      <c r="B1507" s="31" t="s">
        <v>10</v>
      </c>
      <c r="C1507" s="30"/>
      <c r="D1507" s="31" t="s">
        <v>44</v>
      </c>
      <c r="E1507" s="31"/>
      <c r="F1507" s="32">
        <f>WORKDAY(G1503,1)</f>
        <v>46573</v>
      </c>
      <c r="G1507" s="32">
        <f t="shared" si="197"/>
        <v>46584</v>
      </c>
      <c r="H1507" s="31">
        <v>10</v>
      </c>
      <c r="I1507" s="128"/>
    </row>
    <row r="1508" spans="1:9">
      <c r="A1508" s="31" t="s">
        <v>128</v>
      </c>
      <c r="B1508" s="58" t="s">
        <v>10</v>
      </c>
      <c r="C1508" s="34"/>
      <c r="D1508" s="31" t="s">
        <v>45</v>
      </c>
      <c r="E1508" s="31"/>
      <c r="F1508" s="32">
        <f>WORKDAY(G1503,1)</f>
        <v>46573</v>
      </c>
      <c r="G1508" s="32">
        <f t="shared" si="197"/>
        <v>46584</v>
      </c>
      <c r="H1508" s="31">
        <v>10</v>
      </c>
      <c r="I1508" s="31">
        <v>5</v>
      </c>
    </row>
    <row r="1509" spans="1:9">
      <c r="A1509" s="25" t="s">
        <v>128</v>
      </c>
      <c r="B1509" s="26" t="s">
        <v>10</v>
      </c>
      <c r="C1509" s="37"/>
      <c r="D1509" s="26" t="s">
        <v>47</v>
      </c>
      <c r="E1509" s="26"/>
      <c r="F1509" s="27">
        <f>WORKDAY(G1508,-4)</f>
        <v>46580</v>
      </c>
      <c r="G1509" s="28">
        <f t="shared" si="197"/>
        <v>46591</v>
      </c>
      <c r="H1509" s="26">
        <v>10</v>
      </c>
      <c r="I1509" s="26">
        <v>11</v>
      </c>
    </row>
    <row r="1510" spans="1:9">
      <c r="A1510" s="77" t="s">
        <v>128</v>
      </c>
      <c r="B1510" s="42" t="s">
        <v>10</v>
      </c>
      <c r="C1510" s="41"/>
      <c r="D1510" s="42" t="s">
        <v>50</v>
      </c>
      <c r="E1510" s="42"/>
      <c r="F1510" s="43">
        <f>WORKDAY(G1508,1)</f>
        <v>46587</v>
      </c>
      <c r="G1510" s="44">
        <f t="shared" si="197"/>
        <v>46587</v>
      </c>
      <c r="H1510" s="42">
        <v>1</v>
      </c>
      <c r="I1510" s="42">
        <v>0</v>
      </c>
    </row>
    <row r="1511" spans="1:9">
      <c r="A1511" s="21" t="s">
        <v>128</v>
      </c>
      <c r="B1511" s="47" t="s">
        <v>10</v>
      </c>
      <c r="C1511" s="46"/>
      <c r="D1511" s="47" t="s">
        <v>52</v>
      </c>
      <c r="E1511" s="47"/>
      <c r="F1511" s="48">
        <f>WORKDAY(G1509,1)</f>
        <v>46594</v>
      </c>
      <c r="G1511" s="22">
        <f t="shared" si="197"/>
        <v>46605</v>
      </c>
      <c r="H1511" s="47">
        <v>10</v>
      </c>
      <c r="I1511" s="47">
        <v>5</v>
      </c>
    </row>
    <row r="1512" spans="1:9">
      <c r="A1512" s="21" t="s">
        <v>128</v>
      </c>
      <c r="B1512" s="47" t="s">
        <v>10</v>
      </c>
      <c r="C1512" s="46"/>
      <c r="D1512" s="49" t="s">
        <v>55</v>
      </c>
      <c r="E1512" s="49"/>
      <c r="F1512" s="48">
        <f>WORKDAY(G1509,1)</f>
        <v>46594</v>
      </c>
      <c r="G1512" s="22">
        <f t="shared" si="197"/>
        <v>46605</v>
      </c>
      <c r="H1512" s="47">
        <v>10</v>
      </c>
      <c r="I1512" s="47">
        <v>0</v>
      </c>
    </row>
    <row r="1513" spans="1:9">
      <c r="A1513" s="52" t="s">
        <v>128</v>
      </c>
      <c r="B1513" s="52" t="s">
        <v>10</v>
      </c>
      <c r="C1513" s="51"/>
      <c r="D1513" s="52" t="s">
        <v>56</v>
      </c>
      <c r="E1513" s="52"/>
      <c r="F1513" s="53">
        <f t="shared" ref="F1513" si="198">WORKDAY(G1512,1)</f>
        <v>46608</v>
      </c>
      <c r="G1513" s="53">
        <f t="shared" si="197"/>
        <v>46619</v>
      </c>
      <c r="H1513" s="52">
        <v>10</v>
      </c>
      <c r="I1513" s="52">
        <v>7</v>
      </c>
    </row>
    <row r="1514" spans="1:9">
      <c r="A1514" s="52" t="s">
        <v>128</v>
      </c>
      <c r="B1514" s="52" t="s">
        <v>10</v>
      </c>
      <c r="C1514" s="51"/>
      <c r="D1514" s="52" t="s">
        <v>59</v>
      </c>
      <c r="E1514" s="52"/>
      <c r="F1514" s="53">
        <f>WORKDAY(G1512,1)</f>
        <v>46608</v>
      </c>
      <c r="G1514" s="53">
        <f t="shared" si="197"/>
        <v>46608</v>
      </c>
      <c r="H1514" s="52">
        <v>1</v>
      </c>
      <c r="I1514" s="52">
        <v>5</v>
      </c>
    </row>
    <row r="1515" spans="1:9">
      <c r="A1515" s="124" t="s">
        <v>128</v>
      </c>
      <c r="B1515" s="56" t="s">
        <v>10</v>
      </c>
      <c r="C1515" s="55"/>
      <c r="D1515" s="56" t="s">
        <v>62</v>
      </c>
      <c r="E1515" s="56"/>
      <c r="F1515" s="57">
        <f>WORKDAY(G1513,-4)</f>
        <v>46615</v>
      </c>
      <c r="G1515" s="57">
        <f t="shared" si="197"/>
        <v>46626</v>
      </c>
      <c r="H1515" s="56">
        <v>10</v>
      </c>
      <c r="I1515" s="56">
        <v>10</v>
      </c>
    </row>
    <row r="1516" spans="1:9">
      <c r="A1516" s="124" t="s">
        <v>128</v>
      </c>
      <c r="B1516" s="56" t="s">
        <v>10</v>
      </c>
      <c r="C1516" s="55"/>
      <c r="D1516" s="56" t="s">
        <v>64</v>
      </c>
      <c r="E1516" s="56"/>
      <c r="F1516" s="57">
        <f>WORKDAY(F1515,1)</f>
        <v>46616</v>
      </c>
      <c r="G1516" s="57">
        <f t="shared" si="197"/>
        <v>46626</v>
      </c>
      <c r="H1516" s="56">
        <v>9</v>
      </c>
      <c r="I1516" s="56">
        <v>0</v>
      </c>
    </row>
    <row r="1517" spans="1:9">
      <c r="A1517" s="31" t="s">
        <v>128</v>
      </c>
      <c r="B1517" s="58" t="s">
        <v>10</v>
      </c>
      <c r="C1517" s="34"/>
      <c r="D1517" s="58" t="s">
        <v>65</v>
      </c>
      <c r="E1517" s="58"/>
      <c r="F1517" s="59">
        <f>WORKDAY(G1515,1)</f>
        <v>46629</v>
      </c>
      <c r="G1517" s="32">
        <f t="shared" si="197"/>
        <v>46640</v>
      </c>
      <c r="H1517" s="58">
        <v>10</v>
      </c>
      <c r="I1517" s="58">
        <v>4</v>
      </c>
    </row>
    <row r="1518" spans="1:9">
      <c r="A1518" s="107" t="s">
        <v>128</v>
      </c>
      <c r="B1518" s="121" t="s">
        <v>10</v>
      </c>
      <c r="C1518" s="63"/>
      <c r="D1518" s="64" t="s">
        <v>68</v>
      </c>
      <c r="E1518" s="64"/>
      <c r="F1518" s="65">
        <f>WORKDAY(G1517,1)</f>
        <v>46643</v>
      </c>
      <c r="G1518" s="65">
        <f>WORKDAY(F1518,H1518-1,)</f>
        <v>46654</v>
      </c>
      <c r="H1518" s="64">
        <v>10</v>
      </c>
      <c r="I1518" s="130">
        <v>4</v>
      </c>
    </row>
    <row r="1519" spans="1:9">
      <c r="A1519" s="107" t="s">
        <v>128</v>
      </c>
      <c r="B1519" s="121" t="s">
        <v>10</v>
      </c>
      <c r="C1519" s="63"/>
      <c r="D1519" s="64" t="s">
        <v>71</v>
      </c>
      <c r="E1519" s="64"/>
      <c r="F1519" s="65">
        <f>WORKDAY(G1517,1)</f>
        <v>46643</v>
      </c>
      <c r="G1519" s="65">
        <f t="shared" ref="G1519:G1521" si="199">WORKDAY(F1518,H1518-1,)</f>
        <v>46654</v>
      </c>
      <c r="H1519" s="64">
        <v>10</v>
      </c>
      <c r="I1519" s="130"/>
    </row>
    <row r="1520" spans="1:9">
      <c r="A1520" s="107" t="s">
        <v>128</v>
      </c>
      <c r="B1520" s="121" t="s">
        <v>10</v>
      </c>
      <c r="C1520" s="63"/>
      <c r="D1520" s="64" t="s">
        <v>72</v>
      </c>
      <c r="E1520" s="64"/>
      <c r="F1520" s="65">
        <f>WORKDAY(G1517,1)</f>
        <v>46643</v>
      </c>
      <c r="G1520" s="65">
        <f t="shared" si="199"/>
        <v>46654</v>
      </c>
      <c r="H1520" s="64">
        <v>10</v>
      </c>
      <c r="I1520" s="130"/>
    </row>
    <row r="1521" spans="1:9">
      <c r="A1521" s="107" t="s">
        <v>128</v>
      </c>
      <c r="B1521" s="121" t="s">
        <v>10</v>
      </c>
      <c r="C1521" s="63"/>
      <c r="D1521" s="64" t="s">
        <v>73</v>
      </c>
      <c r="E1521" s="64"/>
      <c r="F1521" s="65">
        <f>WORKDAY(G1517,1)</f>
        <v>46643</v>
      </c>
      <c r="G1521" s="65">
        <f t="shared" si="199"/>
        <v>46654</v>
      </c>
      <c r="H1521" s="64">
        <v>10</v>
      </c>
      <c r="I1521" s="130"/>
    </row>
    <row r="1522" spans="1:9">
      <c r="A1522" s="107" t="s">
        <v>128</v>
      </c>
      <c r="B1522" s="121" t="s">
        <v>10</v>
      </c>
      <c r="C1522" s="63"/>
      <c r="D1522" s="64" t="s">
        <v>74</v>
      </c>
      <c r="E1522" s="64"/>
      <c r="F1522" s="65">
        <f>WORKDAY(G1517,1)</f>
        <v>46643</v>
      </c>
      <c r="G1522" s="66">
        <f>WORKDAY(F1522,H1522-1,)</f>
        <v>46654</v>
      </c>
      <c r="H1522" s="64">
        <v>10</v>
      </c>
      <c r="I1522" s="64">
        <v>6</v>
      </c>
    </row>
    <row r="1523" spans="1:9">
      <c r="A1523" s="107" t="s">
        <v>128</v>
      </c>
      <c r="B1523" s="121" t="s">
        <v>10</v>
      </c>
      <c r="C1523" s="63"/>
      <c r="D1523" s="64" t="s">
        <v>77</v>
      </c>
      <c r="E1523" s="64"/>
      <c r="F1523" s="65">
        <f>WORKDAY(G1517,1)</f>
        <v>46643</v>
      </c>
      <c r="G1523" s="66">
        <f t="shared" ref="G1523:G1545" si="200">WORKDAY(F1523,H1523-1,)</f>
        <v>46654</v>
      </c>
      <c r="H1523" s="64">
        <v>10</v>
      </c>
      <c r="I1523" s="64">
        <v>1</v>
      </c>
    </row>
    <row r="1524" spans="1:9">
      <c r="A1524" s="107" t="s">
        <v>128</v>
      </c>
      <c r="B1524" s="121" t="s">
        <v>10</v>
      </c>
      <c r="C1524" s="63"/>
      <c r="D1524" s="64" t="s">
        <v>80</v>
      </c>
      <c r="E1524" s="64"/>
      <c r="F1524" s="65">
        <f>WORKDAY(G1517,1)</f>
        <v>46643</v>
      </c>
      <c r="G1524" s="66">
        <f t="shared" si="200"/>
        <v>46654</v>
      </c>
      <c r="H1524" s="64">
        <v>10</v>
      </c>
      <c r="I1524" s="64">
        <v>0</v>
      </c>
    </row>
    <row r="1525" spans="1:9">
      <c r="A1525" s="107" t="s">
        <v>128</v>
      </c>
      <c r="B1525" s="121" t="s">
        <v>10</v>
      </c>
      <c r="C1525" s="63"/>
      <c r="D1525" s="64" t="s">
        <v>81</v>
      </c>
      <c r="E1525" s="64"/>
      <c r="F1525" s="65">
        <f>WORKDAY(G1517,1)</f>
        <v>46643</v>
      </c>
      <c r="G1525" s="66">
        <f t="shared" si="200"/>
        <v>46654</v>
      </c>
      <c r="H1525" s="64">
        <v>10</v>
      </c>
      <c r="I1525" s="64">
        <v>4</v>
      </c>
    </row>
    <row r="1526" spans="1:9">
      <c r="A1526" s="70" t="s">
        <v>128</v>
      </c>
      <c r="B1526" s="70" t="s">
        <v>10</v>
      </c>
      <c r="C1526" s="69"/>
      <c r="D1526" s="70" t="s">
        <v>82</v>
      </c>
      <c r="E1526" s="70"/>
      <c r="F1526" s="71">
        <f t="shared" ref="F1526" si="201">WORKDAY(G1525,1)</f>
        <v>46657</v>
      </c>
      <c r="G1526" s="71">
        <f t="shared" si="200"/>
        <v>46668</v>
      </c>
      <c r="H1526" s="70">
        <v>10</v>
      </c>
      <c r="I1526" s="70">
        <v>4</v>
      </c>
    </row>
    <row r="1527" spans="1:9">
      <c r="A1527" s="77" t="s">
        <v>128</v>
      </c>
      <c r="B1527" s="75" t="s">
        <v>10</v>
      </c>
      <c r="C1527" s="74"/>
      <c r="D1527" s="75" t="s">
        <v>85</v>
      </c>
      <c r="E1527" s="75"/>
      <c r="F1527" s="76">
        <f>WORKDAY(G1526,-1)</f>
        <v>46667</v>
      </c>
      <c r="G1527" s="44">
        <f t="shared" si="200"/>
        <v>46671</v>
      </c>
      <c r="H1527" s="75">
        <v>3</v>
      </c>
      <c r="I1527" s="75">
        <v>12</v>
      </c>
    </row>
    <row r="1528" spans="1:9">
      <c r="A1528" s="77" t="s">
        <v>128</v>
      </c>
      <c r="B1528" s="75" t="s">
        <v>10</v>
      </c>
      <c r="C1528" s="74"/>
      <c r="D1528" s="75" t="s">
        <v>86</v>
      </c>
      <c r="E1528" s="75"/>
      <c r="F1528" s="76">
        <f>WORKDAY(G1526,1)</f>
        <v>46671</v>
      </c>
      <c r="G1528" s="44">
        <f t="shared" si="200"/>
        <v>46682</v>
      </c>
      <c r="H1528" s="75">
        <v>10</v>
      </c>
      <c r="I1528" s="75">
        <v>0</v>
      </c>
    </row>
    <row r="1529" spans="1:9">
      <c r="A1529" s="78" t="s">
        <v>128</v>
      </c>
      <c r="B1529" s="79" t="s">
        <v>10</v>
      </c>
      <c r="C1529" s="80"/>
      <c r="D1529" s="79" t="s">
        <v>87</v>
      </c>
      <c r="E1529" s="79"/>
      <c r="F1529" s="81">
        <f>WORKDAY(F1527,4)</f>
        <v>46673</v>
      </c>
      <c r="G1529" s="82">
        <f t="shared" si="200"/>
        <v>46686</v>
      </c>
      <c r="H1529" s="79">
        <v>10</v>
      </c>
      <c r="I1529" s="79">
        <v>4</v>
      </c>
    </row>
    <row r="1530" spans="1:9">
      <c r="A1530" s="83" t="s">
        <v>128</v>
      </c>
      <c r="B1530" s="83" t="s">
        <v>10</v>
      </c>
      <c r="C1530" s="84"/>
      <c r="D1530" s="83" t="s">
        <v>89</v>
      </c>
      <c r="E1530" s="83"/>
      <c r="F1530" s="85">
        <f>WORKDAY(F1529,3)</f>
        <v>46678</v>
      </c>
      <c r="G1530" s="85">
        <f t="shared" si="200"/>
        <v>46689</v>
      </c>
      <c r="H1530" s="83">
        <v>10</v>
      </c>
      <c r="I1530" s="127">
        <v>1</v>
      </c>
    </row>
    <row r="1531" spans="1:9">
      <c r="A1531" s="83" t="s">
        <v>128</v>
      </c>
      <c r="B1531" s="83" t="s">
        <v>10</v>
      </c>
      <c r="C1531" s="84"/>
      <c r="D1531" s="83" t="s">
        <v>91</v>
      </c>
      <c r="E1531" s="83"/>
      <c r="F1531" s="85">
        <f>WORKDAY(F1529,3)</f>
        <v>46678</v>
      </c>
      <c r="G1531" s="85">
        <f t="shared" si="200"/>
        <v>46689</v>
      </c>
      <c r="H1531" s="83">
        <v>10</v>
      </c>
      <c r="I1531" s="127"/>
    </row>
    <row r="1532" spans="1:9">
      <c r="A1532" s="83" t="s">
        <v>128</v>
      </c>
      <c r="B1532" s="83" t="s">
        <v>10</v>
      </c>
      <c r="C1532" s="84"/>
      <c r="D1532" s="83" t="s">
        <v>92</v>
      </c>
      <c r="E1532" s="83"/>
      <c r="F1532" s="85">
        <f>WORKDAY(F1529,3)</f>
        <v>46678</v>
      </c>
      <c r="G1532" s="85">
        <f t="shared" si="200"/>
        <v>46689</v>
      </c>
      <c r="H1532" s="83">
        <v>10</v>
      </c>
      <c r="I1532" s="127"/>
    </row>
    <row r="1533" spans="1:9">
      <c r="A1533" s="83" t="s">
        <v>128</v>
      </c>
      <c r="B1533" s="83" t="s">
        <v>10</v>
      </c>
      <c r="C1533" s="84"/>
      <c r="D1533" s="83" t="s">
        <v>93</v>
      </c>
      <c r="E1533" s="83"/>
      <c r="F1533" s="85">
        <f>WORKDAY(F1529,3)</f>
        <v>46678</v>
      </c>
      <c r="G1533" s="85">
        <f t="shared" si="200"/>
        <v>46689</v>
      </c>
      <c r="H1533" s="83">
        <v>10</v>
      </c>
      <c r="I1533" s="127"/>
    </row>
    <row r="1534" spans="1:9">
      <c r="A1534" s="83" t="s">
        <v>128</v>
      </c>
      <c r="B1534" s="83" t="s">
        <v>10</v>
      </c>
      <c r="C1534" s="84"/>
      <c r="D1534" s="83" t="s">
        <v>94</v>
      </c>
      <c r="E1534" s="83"/>
      <c r="F1534" s="85">
        <f>WORKDAY(F1529,3)</f>
        <v>46678</v>
      </c>
      <c r="G1534" s="85">
        <f t="shared" si="200"/>
        <v>46689</v>
      </c>
      <c r="H1534" s="83">
        <v>10</v>
      </c>
      <c r="I1534" s="83">
        <v>1</v>
      </c>
    </row>
    <row r="1535" spans="1:9">
      <c r="A1535" s="86" t="s">
        <v>128</v>
      </c>
      <c r="B1535" s="86" t="s">
        <v>10</v>
      </c>
      <c r="C1535" s="87"/>
      <c r="D1535" s="86" t="s">
        <v>95</v>
      </c>
      <c r="E1535" s="86"/>
      <c r="F1535" s="88">
        <f>WORKDAY(F1534,3)</f>
        <v>46681</v>
      </c>
      <c r="G1535" s="88">
        <f t="shared" si="200"/>
        <v>46689</v>
      </c>
      <c r="H1535" s="86">
        <v>7</v>
      </c>
      <c r="I1535" s="86">
        <v>0</v>
      </c>
    </row>
    <row r="1536" spans="1:9">
      <c r="A1536" s="89" t="s">
        <v>128</v>
      </c>
      <c r="B1536" s="89" t="s">
        <v>10</v>
      </c>
      <c r="C1536" s="90"/>
      <c r="D1536" s="89" t="s">
        <v>96</v>
      </c>
      <c r="E1536" s="89"/>
      <c r="F1536" s="91">
        <f>WORKDAY(F1535,2)</f>
        <v>46685</v>
      </c>
      <c r="G1536" s="91">
        <f t="shared" si="200"/>
        <v>46696</v>
      </c>
      <c r="H1536" s="89">
        <v>10</v>
      </c>
      <c r="I1536" s="89">
        <v>2</v>
      </c>
    </row>
    <row r="1537" spans="1:9">
      <c r="A1537" s="89" t="s">
        <v>128</v>
      </c>
      <c r="B1537" s="89" t="s">
        <v>10</v>
      </c>
      <c r="C1537" s="90"/>
      <c r="D1537" s="89" t="s">
        <v>98</v>
      </c>
      <c r="E1537" s="89"/>
      <c r="F1537" s="91">
        <f>WORKDAY(F1535,2)</f>
        <v>46685</v>
      </c>
      <c r="G1537" s="91">
        <f t="shared" si="200"/>
        <v>46696</v>
      </c>
      <c r="H1537" s="89">
        <v>10</v>
      </c>
      <c r="I1537" s="89">
        <v>9</v>
      </c>
    </row>
    <row r="1538" spans="1:9">
      <c r="A1538" s="89" t="s">
        <v>128</v>
      </c>
      <c r="B1538" s="89" t="s">
        <v>10</v>
      </c>
      <c r="C1538" s="90"/>
      <c r="D1538" s="89" t="s">
        <v>101</v>
      </c>
      <c r="E1538" s="89"/>
      <c r="F1538" s="91">
        <f>WORKDAY(F1535,2)</f>
        <v>46685</v>
      </c>
      <c r="G1538" s="91">
        <f t="shared" si="200"/>
        <v>46696</v>
      </c>
      <c r="H1538" s="89">
        <v>10</v>
      </c>
      <c r="I1538" s="89">
        <v>0</v>
      </c>
    </row>
    <row r="1539" spans="1:9">
      <c r="A1539" s="38" t="s">
        <v>128</v>
      </c>
      <c r="B1539" s="38" t="s">
        <v>10</v>
      </c>
      <c r="C1539" s="92"/>
      <c r="D1539" s="38" t="s">
        <v>103</v>
      </c>
      <c r="E1539" s="38"/>
      <c r="F1539" s="93">
        <f>WORKDAY(G1537,-4)</f>
        <v>46692</v>
      </c>
      <c r="G1539" s="93">
        <f t="shared" si="200"/>
        <v>46694</v>
      </c>
      <c r="H1539" s="38">
        <v>3</v>
      </c>
      <c r="I1539" s="38">
        <v>0</v>
      </c>
    </row>
    <row r="1540" spans="1:9">
      <c r="A1540" s="38" t="s">
        <v>128</v>
      </c>
      <c r="B1540" s="38" t="s">
        <v>10</v>
      </c>
      <c r="C1540" s="92"/>
      <c r="D1540" s="38" t="s">
        <v>106</v>
      </c>
      <c r="E1540" s="38"/>
      <c r="F1540" s="93">
        <f>WORKDAY(G1537,-4)</f>
        <v>46692</v>
      </c>
      <c r="G1540" s="93">
        <f t="shared" si="200"/>
        <v>46703</v>
      </c>
      <c r="H1540" s="38">
        <v>10</v>
      </c>
      <c r="I1540" s="38">
        <v>10</v>
      </c>
    </row>
    <row r="1541" spans="1:9">
      <c r="A1541" s="38" t="s">
        <v>128</v>
      </c>
      <c r="B1541" s="38" t="s">
        <v>10</v>
      </c>
      <c r="C1541" s="92"/>
      <c r="D1541" s="38" t="s">
        <v>108</v>
      </c>
      <c r="E1541" s="38"/>
      <c r="F1541" s="93">
        <f>WORKDAY(G1537,-4)</f>
        <v>46692</v>
      </c>
      <c r="G1541" s="93">
        <f t="shared" si="200"/>
        <v>46703</v>
      </c>
      <c r="H1541" s="38">
        <v>10</v>
      </c>
      <c r="I1541" s="38">
        <v>6</v>
      </c>
    </row>
    <row r="1542" spans="1:9">
      <c r="A1542" s="94" t="s">
        <v>128</v>
      </c>
      <c r="B1542" s="94" t="s">
        <v>10</v>
      </c>
      <c r="C1542" s="95"/>
      <c r="D1542" s="96" t="s">
        <v>109</v>
      </c>
      <c r="E1542" s="96"/>
      <c r="F1542" s="97">
        <f>WORKDAY(G1537,1)</f>
        <v>46699</v>
      </c>
      <c r="G1542" s="97">
        <f t="shared" si="200"/>
        <v>46710</v>
      </c>
      <c r="H1542" s="94">
        <v>10</v>
      </c>
      <c r="I1542" s="94">
        <v>0</v>
      </c>
    </row>
    <row r="1543" spans="1:9">
      <c r="A1543" s="94" t="s">
        <v>128</v>
      </c>
      <c r="B1543" s="94" t="s">
        <v>10</v>
      </c>
      <c r="C1543" s="95"/>
      <c r="D1543" s="96" t="s">
        <v>112</v>
      </c>
      <c r="E1543" s="96"/>
      <c r="F1543" s="97">
        <f>WORKDAY(G1537,1)</f>
        <v>46699</v>
      </c>
      <c r="G1543" s="97">
        <f t="shared" si="200"/>
        <v>46710</v>
      </c>
      <c r="H1543" s="94">
        <v>10</v>
      </c>
      <c r="I1543" s="94">
        <v>0</v>
      </c>
    </row>
    <row r="1544" spans="1:9">
      <c r="A1544" s="77" t="s">
        <v>128</v>
      </c>
      <c r="B1544" s="77" t="s">
        <v>10</v>
      </c>
      <c r="C1544" s="98"/>
      <c r="D1544" s="77" t="s">
        <v>113</v>
      </c>
      <c r="E1544" s="77"/>
      <c r="F1544" s="44">
        <f>WORKDAY(G1542,-4)</f>
        <v>46706</v>
      </c>
      <c r="G1544" s="44">
        <f t="shared" si="200"/>
        <v>46710</v>
      </c>
      <c r="H1544" s="77">
        <v>5</v>
      </c>
      <c r="I1544" s="77">
        <v>1</v>
      </c>
    </row>
    <row r="1545" spans="1:9">
      <c r="A1545" s="77" t="s">
        <v>128</v>
      </c>
      <c r="B1545" s="77" t="s">
        <v>10</v>
      </c>
      <c r="C1545" s="98"/>
      <c r="D1545" s="77" t="s">
        <v>116</v>
      </c>
      <c r="E1545" s="77"/>
      <c r="F1545" s="44">
        <f>WORKDAY(G1542,-4)</f>
        <v>46706</v>
      </c>
      <c r="G1545" s="44">
        <f t="shared" si="200"/>
        <v>46710</v>
      </c>
      <c r="H1545" s="77">
        <v>5</v>
      </c>
      <c r="I1545" s="77">
        <v>0</v>
      </c>
    </row>
    <row r="1546" spans="1:9">
      <c r="A1546" s="5" t="s">
        <v>128</v>
      </c>
      <c r="B1546" s="99" t="s">
        <v>117</v>
      </c>
      <c r="C1546" s="100"/>
      <c r="D1546" s="6" t="s">
        <v>11</v>
      </c>
      <c r="E1546" s="6"/>
      <c r="F1546" s="8">
        <f>WORKDAY(G1495,1)</f>
        <v>46552</v>
      </c>
      <c r="G1546" s="8">
        <f>WORKDAY(F1546,H1546-1,)</f>
        <v>46563</v>
      </c>
      <c r="H1546" s="6">
        <v>10</v>
      </c>
      <c r="I1546" s="6">
        <v>36</v>
      </c>
    </row>
    <row r="1547" spans="1:9">
      <c r="A1547" s="5" t="s">
        <v>128</v>
      </c>
      <c r="B1547" s="99" t="s">
        <v>117</v>
      </c>
      <c r="C1547" s="100"/>
      <c r="D1547" s="6" t="s">
        <v>13</v>
      </c>
      <c r="E1547" s="6"/>
      <c r="F1547" s="8">
        <f>WORKDAY(G1495,1)</f>
        <v>46552</v>
      </c>
      <c r="G1547" s="8">
        <f t="shared" ref="G1547" si="202">WORKDAY(F1547,H1547-1,)</f>
        <v>46563</v>
      </c>
      <c r="H1547" s="6">
        <v>10</v>
      </c>
      <c r="I1547" s="6">
        <v>1</v>
      </c>
    </row>
    <row r="1548" spans="1:9">
      <c r="A1548" s="5" t="s">
        <v>128</v>
      </c>
      <c r="B1548" s="99" t="s">
        <v>117</v>
      </c>
      <c r="C1548" s="100"/>
      <c r="D1548" s="6" t="s">
        <v>15</v>
      </c>
      <c r="E1548" s="6"/>
      <c r="F1548" s="8">
        <f>WORKDAY(G1495,1)</f>
        <v>46552</v>
      </c>
      <c r="G1548" s="8">
        <f>WORKDAY(F1548,H1548-1,)</f>
        <v>46563</v>
      </c>
      <c r="H1548" s="6">
        <v>10</v>
      </c>
      <c r="I1548" s="6">
        <v>1</v>
      </c>
    </row>
    <row r="1549" spans="1:9">
      <c r="A1549" s="11" t="s">
        <v>128</v>
      </c>
      <c r="B1549" s="101" t="s">
        <v>117</v>
      </c>
      <c r="C1549" s="102"/>
      <c r="D1549" s="11" t="s">
        <v>16</v>
      </c>
      <c r="E1549" s="11"/>
      <c r="F1549" s="12">
        <f>WORKDAY(G1548,-4)</f>
        <v>46559</v>
      </c>
      <c r="G1549" s="12">
        <f t="shared" ref="G1549:G1556" si="203">WORKDAY(F1549,H1549-1,)</f>
        <v>46570</v>
      </c>
      <c r="H1549" s="11">
        <v>10</v>
      </c>
      <c r="I1549" s="11">
        <v>5</v>
      </c>
    </row>
    <row r="1550" spans="1:9">
      <c r="A1550" s="11" t="s">
        <v>128</v>
      </c>
      <c r="B1550" s="101" t="s">
        <v>117</v>
      </c>
      <c r="C1550" s="102"/>
      <c r="D1550" s="11" t="s">
        <v>18</v>
      </c>
      <c r="E1550" s="11"/>
      <c r="F1550" s="12">
        <f>WORKDAY(G1548,-4)</f>
        <v>46559</v>
      </c>
      <c r="G1550" s="12">
        <f t="shared" si="203"/>
        <v>46570</v>
      </c>
      <c r="H1550" s="11">
        <v>10</v>
      </c>
      <c r="I1550" s="13">
        <v>4</v>
      </c>
    </row>
    <row r="1551" spans="1:9">
      <c r="A1551" s="11" t="s">
        <v>128</v>
      </c>
      <c r="B1551" s="101" t="s">
        <v>117</v>
      </c>
      <c r="C1551" s="102"/>
      <c r="D1551" s="11" t="s">
        <v>21</v>
      </c>
      <c r="E1551" s="11"/>
      <c r="F1551" s="12">
        <f>WORKDAY(G1548,-4)</f>
        <v>46559</v>
      </c>
      <c r="G1551" s="12">
        <f t="shared" si="203"/>
        <v>46570</v>
      </c>
      <c r="H1551" s="11">
        <v>10</v>
      </c>
      <c r="I1551" s="11">
        <v>3</v>
      </c>
    </row>
    <row r="1552" spans="1:9">
      <c r="A1552" s="11" t="s">
        <v>128</v>
      </c>
      <c r="B1552" s="101" t="s">
        <v>117</v>
      </c>
      <c r="C1552" s="102"/>
      <c r="D1552" s="11" t="s">
        <v>24</v>
      </c>
      <c r="E1552" s="11"/>
      <c r="F1552" s="12">
        <f>WORKDAY(G1548,-4)</f>
        <v>46559</v>
      </c>
      <c r="G1552" s="12">
        <f t="shared" si="203"/>
        <v>46570</v>
      </c>
      <c r="H1552" s="11">
        <v>10</v>
      </c>
      <c r="I1552" s="11">
        <v>0</v>
      </c>
    </row>
    <row r="1553" spans="1:9">
      <c r="A1553" s="17" t="s">
        <v>128</v>
      </c>
      <c r="B1553" s="103" t="s">
        <v>117</v>
      </c>
      <c r="C1553" s="104"/>
      <c r="D1553" s="17" t="s">
        <v>26</v>
      </c>
      <c r="E1553" s="17"/>
      <c r="F1553" s="18">
        <f>WORKDAY(G1552,-4)</f>
        <v>46566</v>
      </c>
      <c r="G1553" s="18">
        <f t="shared" si="203"/>
        <v>46577</v>
      </c>
      <c r="H1553" s="17">
        <v>10</v>
      </c>
      <c r="I1553" s="17">
        <v>2</v>
      </c>
    </row>
    <row r="1554" spans="1:9">
      <c r="A1554" s="21" t="s">
        <v>128</v>
      </c>
      <c r="B1554" s="21" t="s">
        <v>117</v>
      </c>
      <c r="C1554" s="20"/>
      <c r="D1554" s="21" t="s">
        <v>29</v>
      </c>
      <c r="E1554" s="21"/>
      <c r="F1554" s="22">
        <f>WORKDAY(F1553,5)</f>
        <v>46573</v>
      </c>
      <c r="G1554" s="22">
        <f t="shared" si="203"/>
        <v>46577</v>
      </c>
      <c r="H1554" s="21">
        <v>5</v>
      </c>
      <c r="I1554" s="21">
        <v>4</v>
      </c>
    </row>
    <row r="1555" spans="1:9">
      <c r="A1555" s="21" t="s">
        <v>128</v>
      </c>
      <c r="B1555" s="21" t="s">
        <v>117</v>
      </c>
      <c r="C1555" s="20"/>
      <c r="D1555" s="21" t="s">
        <v>32</v>
      </c>
      <c r="E1555" s="21"/>
      <c r="F1555" s="22">
        <f>WORKDAY(G1553,1)</f>
        <v>46580</v>
      </c>
      <c r="G1555" s="22">
        <f t="shared" si="203"/>
        <v>46584</v>
      </c>
      <c r="H1555" s="21">
        <v>5</v>
      </c>
      <c r="I1555" s="21">
        <v>1</v>
      </c>
    </row>
    <row r="1556" spans="1:9">
      <c r="A1556" s="21" t="s">
        <v>128</v>
      </c>
      <c r="B1556" s="21" t="s">
        <v>117</v>
      </c>
      <c r="C1556" s="20"/>
      <c r="D1556" s="21" t="s">
        <v>34</v>
      </c>
      <c r="E1556" s="21"/>
      <c r="F1556" s="22">
        <f>WORKDAY(G1550,1)</f>
        <v>46573</v>
      </c>
      <c r="G1556" s="22">
        <f t="shared" si="203"/>
        <v>46584</v>
      </c>
      <c r="H1556" s="21">
        <v>10</v>
      </c>
      <c r="I1556" s="21">
        <v>3</v>
      </c>
    </row>
    <row r="1557" spans="1:9">
      <c r="A1557" s="31" t="s">
        <v>128</v>
      </c>
      <c r="B1557" s="31" t="s">
        <v>117</v>
      </c>
      <c r="C1557" s="30"/>
      <c r="D1557" s="31" t="s">
        <v>37</v>
      </c>
      <c r="E1557" s="31"/>
      <c r="F1557" s="32">
        <f>WORKDAY(G1556,1)</f>
        <v>46587</v>
      </c>
      <c r="G1557" s="32">
        <f>WORKDAY(F1557,H1557-1,)</f>
        <v>46598</v>
      </c>
      <c r="H1557" s="31">
        <v>10</v>
      </c>
      <c r="I1557" s="128">
        <v>5</v>
      </c>
    </row>
    <row r="1558" spans="1:9">
      <c r="A1558" s="31" t="s">
        <v>128</v>
      </c>
      <c r="B1558" s="31" t="s">
        <v>117</v>
      </c>
      <c r="C1558" s="30"/>
      <c r="D1558" s="31" t="s">
        <v>40</v>
      </c>
      <c r="E1558" s="31"/>
      <c r="F1558" s="32">
        <f>WORKDAY(G1556,1)</f>
        <v>46587</v>
      </c>
      <c r="G1558" s="32">
        <f t="shared" ref="G1558:G1570" si="204">WORKDAY(F1558,H1558-1,)</f>
        <v>46598</v>
      </c>
      <c r="H1558" s="31">
        <v>10</v>
      </c>
      <c r="I1558" s="128"/>
    </row>
    <row r="1559" spans="1:9">
      <c r="A1559" s="31" t="s">
        <v>128</v>
      </c>
      <c r="B1559" s="31" t="s">
        <v>117</v>
      </c>
      <c r="C1559" s="30"/>
      <c r="D1559" s="31" t="s">
        <v>42</v>
      </c>
      <c r="E1559" s="31"/>
      <c r="F1559" s="32">
        <f>WORKDAY(G1556,1)</f>
        <v>46587</v>
      </c>
      <c r="G1559" s="32">
        <f t="shared" si="204"/>
        <v>46598</v>
      </c>
      <c r="H1559" s="31">
        <v>10</v>
      </c>
      <c r="I1559" s="128"/>
    </row>
    <row r="1560" spans="1:9">
      <c r="A1560" s="31" t="s">
        <v>128</v>
      </c>
      <c r="B1560" s="31" t="s">
        <v>117</v>
      </c>
      <c r="C1560" s="30"/>
      <c r="D1560" s="31" t="s">
        <v>44</v>
      </c>
      <c r="E1560" s="31"/>
      <c r="F1560" s="32">
        <f>WORKDAY(G1556,1)</f>
        <v>46587</v>
      </c>
      <c r="G1560" s="32">
        <f t="shared" si="204"/>
        <v>46598</v>
      </c>
      <c r="H1560" s="31">
        <v>10</v>
      </c>
      <c r="I1560" s="128"/>
    </row>
    <row r="1561" spans="1:9">
      <c r="A1561" s="31" t="s">
        <v>128</v>
      </c>
      <c r="B1561" s="31" t="s">
        <v>117</v>
      </c>
      <c r="C1561" s="30"/>
      <c r="D1561" s="31" t="s">
        <v>45</v>
      </c>
      <c r="E1561" s="31"/>
      <c r="F1561" s="32">
        <f>WORKDAY(G1556,1)</f>
        <v>46587</v>
      </c>
      <c r="G1561" s="32">
        <f t="shared" si="204"/>
        <v>46598</v>
      </c>
      <c r="H1561" s="31">
        <v>10</v>
      </c>
      <c r="I1561" s="31">
        <v>5</v>
      </c>
    </row>
    <row r="1562" spans="1:9">
      <c r="A1562" s="25" t="s">
        <v>128</v>
      </c>
      <c r="B1562" s="25" t="s">
        <v>117</v>
      </c>
      <c r="C1562" s="105"/>
      <c r="D1562" s="26" t="s">
        <v>47</v>
      </c>
      <c r="E1562" s="26"/>
      <c r="F1562" s="27">
        <f>WORKDAY(G1561,-4)</f>
        <v>46594</v>
      </c>
      <c r="G1562" s="28">
        <f t="shared" si="204"/>
        <v>46605</v>
      </c>
      <c r="H1562" s="26">
        <v>10</v>
      </c>
      <c r="I1562" s="26">
        <v>11</v>
      </c>
    </row>
    <row r="1563" spans="1:9">
      <c r="A1563" s="77" t="s">
        <v>128</v>
      </c>
      <c r="B1563" s="77" t="s">
        <v>117</v>
      </c>
      <c r="C1563" s="98"/>
      <c r="D1563" s="42" t="s">
        <v>50</v>
      </c>
      <c r="E1563" s="42"/>
      <c r="F1563" s="43">
        <f>WORKDAY(G1561,1)</f>
        <v>46601</v>
      </c>
      <c r="G1563" s="44">
        <f t="shared" si="204"/>
        <v>46601</v>
      </c>
      <c r="H1563" s="42">
        <v>1</v>
      </c>
      <c r="I1563" s="42">
        <v>0</v>
      </c>
    </row>
    <row r="1564" spans="1:9">
      <c r="A1564" s="21" t="s">
        <v>128</v>
      </c>
      <c r="B1564" s="21" t="s">
        <v>117</v>
      </c>
      <c r="C1564" s="20"/>
      <c r="D1564" s="47" t="s">
        <v>52</v>
      </c>
      <c r="E1564" s="47"/>
      <c r="F1564" s="48">
        <f>WORKDAY(G1562,1)</f>
        <v>46608</v>
      </c>
      <c r="G1564" s="22">
        <f t="shared" si="204"/>
        <v>46619</v>
      </c>
      <c r="H1564" s="47">
        <v>10</v>
      </c>
      <c r="I1564" s="47">
        <v>5</v>
      </c>
    </row>
    <row r="1565" spans="1:9">
      <c r="A1565" s="21" t="s">
        <v>128</v>
      </c>
      <c r="B1565" s="21" t="s">
        <v>117</v>
      </c>
      <c r="C1565" s="20"/>
      <c r="D1565" s="49" t="s">
        <v>55</v>
      </c>
      <c r="E1565" s="49"/>
      <c r="F1565" s="48">
        <f>WORKDAY(G1562,1)</f>
        <v>46608</v>
      </c>
      <c r="G1565" s="22">
        <f t="shared" si="204"/>
        <v>46619</v>
      </c>
      <c r="H1565" s="47">
        <v>10</v>
      </c>
      <c r="I1565" s="47">
        <v>0</v>
      </c>
    </row>
    <row r="1566" spans="1:9">
      <c r="A1566" s="52" t="s">
        <v>128</v>
      </c>
      <c r="B1566" s="52" t="s">
        <v>117</v>
      </c>
      <c r="C1566" s="51"/>
      <c r="D1566" s="52" t="s">
        <v>56</v>
      </c>
      <c r="E1566" s="52"/>
      <c r="F1566" s="53">
        <f t="shared" ref="F1566" si="205">WORKDAY(G1565,1)</f>
        <v>46622</v>
      </c>
      <c r="G1566" s="53">
        <f t="shared" si="204"/>
        <v>46633</v>
      </c>
      <c r="H1566" s="52">
        <v>10</v>
      </c>
      <c r="I1566" s="52">
        <v>7</v>
      </c>
    </row>
    <row r="1567" spans="1:9">
      <c r="A1567" s="52" t="s">
        <v>128</v>
      </c>
      <c r="B1567" s="52" t="s">
        <v>117</v>
      </c>
      <c r="C1567" s="51"/>
      <c r="D1567" s="52" t="s">
        <v>59</v>
      </c>
      <c r="E1567" s="52"/>
      <c r="F1567" s="53">
        <f>WORKDAY(G1565,1)</f>
        <v>46622</v>
      </c>
      <c r="G1567" s="53">
        <f t="shared" si="204"/>
        <v>46622</v>
      </c>
      <c r="H1567" s="52">
        <v>1</v>
      </c>
      <c r="I1567" s="52">
        <v>5</v>
      </c>
    </row>
    <row r="1568" spans="1:9">
      <c r="A1568" s="124" t="s">
        <v>128</v>
      </c>
      <c r="B1568" s="56" t="s">
        <v>117</v>
      </c>
      <c r="C1568" s="55"/>
      <c r="D1568" s="56" t="s">
        <v>62</v>
      </c>
      <c r="E1568" s="56"/>
      <c r="F1568" s="57">
        <f>WORKDAY(G1566,-4)</f>
        <v>46629</v>
      </c>
      <c r="G1568" s="57">
        <f t="shared" si="204"/>
        <v>46640</v>
      </c>
      <c r="H1568" s="56">
        <v>10</v>
      </c>
      <c r="I1568" s="56">
        <v>10</v>
      </c>
    </row>
    <row r="1569" spans="1:9">
      <c r="A1569" s="124" t="s">
        <v>128</v>
      </c>
      <c r="B1569" s="56" t="s">
        <v>117</v>
      </c>
      <c r="C1569" s="55"/>
      <c r="D1569" s="56" t="s">
        <v>64</v>
      </c>
      <c r="E1569" s="56"/>
      <c r="F1569" s="57">
        <f>WORKDAY(F1568,1)</f>
        <v>46630</v>
      </c>
      <c r="G1569" s="57">
        <f t="shared" si="204"/>
        <v>46640</v>
      </c>
      <c r="H1569" s="56">
        <v>9</v>
      </c>
      <c r="I1569" s="56">
        <v>0</v>
      </c>
    </row>
    <row r="1570" spans="1:9">
      <c r="A1570" s="31" t="s">
        <v>128</v>
      </c>
      <c r="B1570" s="31" t="s">
        <v>117</v>
      </c>
      <c r="C1570" s="30"/>
      <c r="D1570" s="58" t="s">
        <v>65</v>
      </c>
      <c r="E1570" s="58"/>
      <c r="F1570" s="59">
        <f>WORKDAY(G1568,1)</f>
        <v>46643</v>
      </c>
      <c r="G1570" s="32">
        <f t="shared" si="204"/>
        <v>46654</v>
      </c>
      <c r="H1570" s="58">
        <v>10</v>
      </c>
      <c r="I1570" s="58">
        <v>4</v>
      </c>
    </row>
    <row r="1571" spans="1:9">
      <c r="A1571" s="106" t="s">
        <v>128</v>
      </c>
      <c r="B1571" s="107" t="s">
        <v>117</v>
      </c>
      <c r="C1571" s="108"/>
      <c r="D1571" s="64" t="s">
        <v>68</v>
      </c>
      <c r="E1571" s="64"/>
      <c r="F1571" s="65">
        <f>WORKDAY(G1570,1)</f>
        <v>46657</v>
      </c>
      <c r="G1571" s="65">
        <f>WORKDAY(F1571,H1571-1,)</f>
        <v>46668</v>
      </c>
      <c r="H1571" s="64">
        <v>10</v>
      </c>
      <c r="I1571" s="130">
        <v>4</v>
      </c>
    </row>
    <row r="1572" spans="1:9">
      <c r="A1572" s="106" t="s">
        <v>128</v>
      </c>
      <c r="B1572" s="107" t="s">
        <v>117</v>
      </c>
      <c r="C1572" s="108"/>
      <c r="D1572" s="64" t="s">
        <v>71</v>
      </c>
      <c r="E1572" s="64"/>
      <c r="F1572" s="65">
        <f>WORKDAY(G1570,1)</f>
        <v>46657</v>
      </c>
      <c r="G1572" s="65">
        <f t="shared" ref="G1572:G1574" si="206">WORKDAY(F1571,H1571-1,)</f>
        <v>46668</v>
      </c>
      <c r="H1572" s="64">
        <v>10</v>
      </c>
      <c r="I1572" s="130"/>
    </row>
    <row r="1573" spans="1:9">
      <c r="A1573" s="106" t="s">
        <v>128</v>
      </c>
      <c r="B1573" s="107" t="s">
        <v>117</v>
      </c>
      <c r="C1573" s="108"/>
      <c r="D1573" s="64" t="s">
        <v>72</v>
      </c>
      <c r="E1573" s="64"/>
      <c r="F1573" s="65">
        <f>WORKDAY(G1570,1)</f>
        <v>46657</v>
      </c>
      <c r="G1573" s="65">
        <f t="shared" si="206"/>
        <v>46668</v>
      </c>
      <c r="H1573" s="64">
        <v>10</v>
      </c>
      <c r="I1573" s="130"/>
    </row>
    <row r="1574" spans="1:9">
      <c r="A1574" s="106" t="s">
        <v>128</v>
      </c>
      <c r="B1574" s="107" t="s">
        <v>117</v>
      </c>
      <c r="C1574" s="108"/>
      <c r="D1574" s="64" t="s">
        <v>73</v>
      </c>
      <c r="E1574" s="64"/>
      <c r="F1574" s="65">
        <f>WORKDAY(G1570,1)</f>
        <v>46657</v>
      </c>
      <c r="G1574" s="65">
        <f t="shared" si="206"/>
        <v>46668</v>
      </c>
      <c r="H1574" s="64">
        <v>10</v>
      </c>
      <c r="I1574" s="130"/>
    </row>
    <row r="1575" spans="1:9">
      <c r="A1575" s="107" t="s">
        <v>128</v>
      </c>
      <c r="B1575" s="107" t="s">
        <v>117</v>
      </c>
      <c r="C1575" s="108"/>
      <c r="D1575" s="64" t="s">
        <v>74</v>
      </c>
      <c r="E1575" s="64"/>
      <c r="F1575" s="65">
        <f>WORKDAY(G1570,1)</f>
        <v>46657</v>
      </c>
      <c r="G1575" s="66">
        <f>WORKDAY(F1575,H1575-1,)</f>
        <v>46668</v>
      </c>
      <c r="H1575" s="64">
        <v>10</v>
      </c>
      <c r="I1575" s="64">
        <v>6</v>
      </c>
    </row>
    <row r="1576" spans="1:9">
      <c r="A1576" s="107" t="s">
        <v>128</v>
      </c>
      <c r="B1576" s="107" t="s">
        <v>117</v>
      </c>
      <c r="C1576" s="108"/>
      <c r="D1576" s="64" t="s">
        <v>77</v>
      </c>
      <c r="E1576" s="64"/>
      <c r="F1576" s="65">
        <f>WORKDAY(G1570,1)</f>
        <v>46657</v>
      </c>
      <c r="G1576" s="66">
        <f t="shared" ref="G1576:G1598" si="207">WORKDAY(F1576,H1576-1,)</f>
        <v>46668</v>
      </c>
      <c r="H1576" s="64">
        <v>10</v>
      </c>
      <c r="I1576" s="64">
        <v>1</v>
      </c>
    </row>
    <row r="1577" spans="1:9">
      <c r="A1577" s="107" t="s">
        <v>128</v>
      </c>
      <c r="B1577" s="107" t="s">
        <v>117</v>
      </c>
      <c r="C1577" s="108"/>
      <c r="D1577" s="64" t="s">
        <v>80</v>
      </c>
      <c r="E1577" s="64"/>
      <c r="F1577" s="65">
        <f>WORKDAY(G1570,1)</f>
        <v>46657</v>
      </c>
      <c r="G1577" s="66">
        <f t="shared" si="207"/>
        <v>46668</v>
      </c>
      <c r="H1577" s="64">
        <v>10</v>
      </c>
      <c r="I1577" s="64">
        <v>0</v>
      </c>
    </row>
    <row r="1578" spans="1:9">
      <c r="A1578" s="107" t="s">
        <v>128</v>
      </c>
      <c r="B1578" s="107" t="s">
        <v>117</v>
      </c>
      <c r="C1578" s="108"/>
      <c r="D1578" s="64" t="s">
        <v>81</v>
      </c>
      <c r="E1578" s="64"/>
      <c r="F1578" s="65">
        <f>WORKDAY(G1570,1)</f>
        <v>46657</v>
      </c>
      <c r="G1578" s="66">
        <f t="shared" si="207"/>
        <v>46668</v>
      </c>
      <c r="H1578" s="64">
        <v>10</v>
      </c>
      <c r="I1578" s="64">
        <v>4</v>
      </c>
    </row>
    <row r="1579" spans="1:9">
      <c r="A1579" s="70" t="s">
        <v>128</v>
      </c>
      <c r="B1579" s="70" t="s">
        <v>117</v>
      </c>
      <c r="C1579" s="69"/>
      <c r="D1579" s="70" t="s">
        <v>82</v>
      </c>
      <c r="E1579" s="70"/>
      <c r="F1579" s="71">
        <f t="shared" ref="F1579" si="208">WORKDAY(G1578,1)</f>
        <v>46671</v>
      </c>
      <c r="G1579" s="71">
        <f t="shared" si="207"/>
        <v>46682</v>
      </c>
      <c r="H1579" s="70">
        <v>10</v>
      </c>
      <c r="I1579" s="70">
        <v>4</v>
      </c>
    </row>
    <row r="1580" spans="1:9">
      <c r="A1580" s="77" t="s">
        <v>128</v>
      </c>
      <c r="B1580" s="77" t="s">
        <v>117</v>
      </c>
      <c r="C1580" s="98"/>
      <c r="D1580" s="75" t="s">
        <v>85</v>
      </c>
      <c r="E1580" s="75"/>
      <c r="F1580" s="76">
        <f>WORKDAY(G1579,-1)</f>
        <v>46681</v>
      </c>
      <c r="G1580" s="44">
        <f t="shared" si="207"/>
        <v>46685</v>
      </c>
      <c r="H1580" s="75">
        <v>3</v>
      </c>
      <c r="I1580" s="75">
        <v>12</v>
      </c>
    </row>
    <row r="1581" spans="1:9">
      <c r="A1581" s="77" t="s">
        <v>128</v>
      </c>
      <c r="B1581" s="77" t="s">
        <v>117</v>
      </c>
      <c r="C1581" s="98"/>
      <c r="D1581" s="75" t="s">
        <v>86</v>
      </c>
      <c r="E1581" s="75"/>
      <c r="F1581" s="76">
        <f>WORKDAY(G1579,1)</f>
        <v>46685</v>
      </c>
      <c r="G1581" s="44">
        <f t="shared" si="207"/>
        <v>46696</v>
      </c>
      <c r="H1581" s="75">
        <v>10</v>
      </c>
      <c r="I1581" s="75">
        <v>0</v>
      </c>
    </row>
    <row r="1582" spans="1:9">
      <c r="A1582" s="78" t="s">
        <v>128</v>
      </c>
      <c r="B1582" s="78" t="s">
        <v>117</v>
      </c>
      <c r="C1582" s="109"/>
      <c r="D1582" s="79" t="s">
        <v>87</v>
      </c>
      <c r="E1582" s="79"/>
      <c r="F1582" s="81">
        <f>WORKDAY(F1580,4)</f>
        <v>46687</v>
      </c>
      <c r="G1582" s="82">
        <f t="shared" si="207"/>
        <v>46700</v>
      </c>
      <c r="H1582" s="79">
        <v>10</v>
      </c>
      <c r="I1582" s="79">
        <v>4</v>
      </c>
    </row>
    <row r="1583" spans="1:9">
      <c r="A1583" s="83" t="s">
        <v>128</v>
      </c>
      <c r="B1583" s="83" t="s">
        <v>117</v>
      </c>
      <c r="C1583" s="84"/>
      <c r="D1583" s="83" t="s">
        <v>89</v>
      </c>
      <c r="E1583" s="83"/>
      <c r="F1583" s="85">
        <f>WORKDAY(F1582,3)</f>
        <v>46692</v>
      </c>
      <c r="G1583" s="85">
        <f t="shared" si="207"/>
        <v>46703</v>
      </c>
      <c r="H1583" s="83">
        <v>10</v>
      </c>
      <c r="I1583" s="127">
        <v>1</v>
      </c>
    </row>
    <row r="1584" spans="1:9">
      <c r="A1584" s="83" t="s">
        <v>128</v>
      </c>
      <c r="B1584" s="83" t="s">
        <v>117</v>
      </c>
      <c r="C1584" s="84"/>
      <c r="D1584" s="83" t="s">
        <v>91</v>
      </c>
      <c r="E1584" s="83"/>
      <c r="F1584" s="85">
        <f>WORKDAY(F1582,3)</f>
        <v>46692</v>
      </c>
      <c r="G1584" s="85">
        <f t="shared" si="207"/>
        <v>46703</v>
      </c>
      <c r="H1584" s="83">
        <v>10</v>
      </c>
      <c r="I1584" s="127"/>
    </row>
    <row r="1585" spans="1:9">
      <c r="A1585" s="83" t="s">
        <v>128</v>
      </c>
      <c r="B1585" s="83" t="s">
        <v>117</v>
      </c>
      <c r="C1585" s="84"/>
      <c r="D1585" s="83" t="s">
        <v>92</v>
      </c>
      <c r="E1585" s="83"/>
      <c r="F1585" s="85">
        <f>WORKDAY(F1582,3)</f>
        <v>46692</v>
      </c>
      <c r="G1585" s="85">
        <f t="shared" si="207"/>
        <v>46703</v>
      </c>
      <c r="H1585" s="83">
        <v>10</v>
      </c>
      <c r="I1585" s="127"/>
    </row>
    <row r="1586" spans="1:9">
      <c r="A1586" s="83" t="s">
        <v>128</v>
      </c>
      <c r="B1586" s="83" t="s">
        <v>117</v>
      </c>
      <c r="C1586" s="84"/>
      <c r="D1586" s="83" t="s">
        <v>93</v>
      </c>
      <c r="E1586" s="83"/>
      <c r="F1586" s="85">
        <f>WORKDAY(F1582,3)</f>
        <v>46692</v>
      </c>
      <c r="G1586" s="85">
        <f t="shared" si="207"/>
        <v>46703</v>
      </c>
      <c r="H1586" s="83">
        <v>10</v>
      </c>
      <c r="I1586" s="127"/>
    </row>
    <row r="1587" spans="1:9">
      <c r="A1587" s="83" t="s">
        <v>128</v>
      </c>
      <c r="B1587" s="83" t="s">
        <v>117</v>
      </c>
      <c r="C1587" s="84"/>
      <c r="D1587" s="83" t="s">
        <v>94</v>
      </c>
      <c r="E1587" s="83"/>
      <c r="F1587" s="85">
        <f>WORKDAY(F1582,3)</f>
        <v>46692</v>
      </c>
      <c r="G1587" s="85">
        <f t="shared" si="207"/>
        <v>46703</v>
      </c>
      <c r="H1587" s="83">
        <v>10</v>
      </c>
      <c r="I1587" s="83">
        <v>1</v>
      </c>
    </row>
    <row r="1588" spans="1:9">
      <c r="A1588" s="86" t="s">
        <v>128</v>
      </c>
      <c r="B1588" s="86" t="s">
        <v>117</v>
      </c>
      <c r="C1588" s="87"/>
      <c r="D1588" s="86" t="s">
        <v>95</v>
      </c>
      <c r="E1588" s="86"/>
      <c r="F1588" s="88">
        <f>WORKDAY(F1587,3)</f>
        <v>46695</v>
      </c>
      <c r="G1588" s="88">
        <f t="shared" si="207"/>
        <v>46703</v>
      </c>
      <c r="H1588" s="86">
        <v>7</v>
      </c>
      <c r="I1588" s="86">
        <v>0</v>
      </c>
    </row>
    <row r="1589" spans="1:9">
      <c r="A1589" s="89" t="s">
        <v>128</v>
      </c>
      <c r="B1589" s="89" t="s">
        <v>117</v>
      </c>
      <c r="C1589" s="90"/>
      <c r="D1589" s="89" t="s">
        <v>96</v>
      </c>
      <c r="E1589" s="89"/>
      <c r="F1589" s="91">
        <f>WORKDAY(F1588,2)</f>
        <v>46699</v>
      </c>
      <c r="G1589" s="91">
        <f t="shared" si="207"/>
        <v>46710</v>
      </c>
      <c r="H1589" s="89">
        <v>10</v>
      </c>
      <c r="I1589" s="89">
        <v>2</v>
      </c>
    </row>
    <row r="1590" spans="1:9">
      <c r="A1590" s="89" t="s">
        <v>128</v>
      </c>
      <c r="B1590" s="89" t="s">
        <v>117</v>
      </c>
      <c r="C1590" s="90"/>
      <c r="D1590" s="89" t="s">
        <v>98</v>
      </c>
      <c r="E1590" s="89"/>
      <c r="F1590" s="91">
        <f>WORKDAY(F1588,2)</f>
        <v>46699</v>
      </c>
      <c r="G1590" s="91">
        <f t="shared" si="207"/>
        <v>46710</v>
      </c>
      <c r="H1590" s="89">
        <v>10</v>
      </c>
      <c r="I1590" s="89">
        <v>9</v>
      </c>
    </row>
    <row r="1591" spans="1:9">
      <c r="A1591" s="89" t="s">
        <v>128</v>
      </c>
      <c r="B1591" s="89" t="s">
        <v>117</v>
      </c>
      <c r="C1591" s="90"/>
      <c r="D1591" s="89" t="s">
        <v>101</v>
      </c>
      <c r="E1591" s="89"/>
      <c r="F1591" s="91">
        <f>WORKDAY(F1588,2)</f>
        <v>46699</v>
      </c>
      <c r="G1591" s="91">
        <f t="shared" si="207"/>
        <v>46710</v>
      </c>
      <c r="H1591" s="89">
        <v>10</v>
      </c>
      <c r="I1591" s="89">
        <v>0</v>
      </c>
    </row>
    <row r="1592" spans="1:9">
      <c r="A1592" s="38" t="s">
        <v>128</v>
      </c>
      <c r="B1592" s="38" t="s">
        <v>117</v>
      </c>
      <c r="C1592" s="92"/>
      <c r="D1592" s="38" t="s">
        <v>103</v>
      </c>
      <c r="E1592" s="38"/>
      <c r="F1592" s="93">
        <f>WORKDAY(G1590,-4)</f>
        <v>46706</v>
      </c>
      <c r="G1592" s="93">
        <f t="shared" si="207"/>
        <v>46708</v>
      </c>
      <c r="H1592" s="38">
        <v>3</v>
      </c>
      <c r="I1592" s="38">
        <v>0</v>
      </c>
    </row>
    <row r="1593" spans="1:9">
      <c r="A1593" s="38" t="s">
        <v>128</v>
      </c>
      <c r="B1593" s="38" t="s">
        <v>117</v>
      </c>
      <c r="C1593" s="92"/>
      <c r="D1593" s="38" t="s">
        <v>106</v>
      </c>
      <c r="E1593" s="38"/>
      <c r="F1593" s="93">
        <f>WORKDAY(G1590,-4)</f>
        <v>46706</v>
      </c>
      <c r="G1593" s="93">
        <f t="shared" si="207"/>
        <v>46717</v>
      </c>
      <c r="H1593" s="38">
        <v>10</v>
      </c>
      <c r="I1593" s="38">
        <v>10</v>
      </c>
    </row>
    <row r="1594" spans="1:9">
      <c r="A1594" s="38" t="s">
        <v>128</v>
      </c>
      <c r="B1594" s="38" t="s">
        <v>117</v>
      </c>
      <c r="C1594" s="92"/>
      <c r="D1594" s="38" t="s">
        <v>108</v>
      </c>
      <c r="E1594" s="38"/>
      <c r="F1594" s="93">
        <f>WORKDAY(G1590,-4)</f>
        <v>46706</v>
      </c>
      <c r="G1594" s="93">
        <f t="shared" si="207"/>
        <v>46717</v>
      </c>
      <c r="H1594" s="38">
        <v>10</v>
      </c>
      <c r="I1594" s="38">
        <v>6</v>
      </c>
    </row>
    <row r="1595" spans="1:9">
      <c r="A1595" s="94" t="s">
        <v>128</v>
      </c>
      <c r="B1595" s="94" t="s">
        <v>117</v>
      </c>
      <c r="C1595" s="95"/>
      <c r="D1595" s="96" t="s">
        <v>109</v>
      </c>
      <c r="E1595" s="96"/>
      <c r="F1595" s="97">
        <f>WORKDAY(G1590,1)</f>
        <v>46713</v>
      </c>
      <c r="G1595" s="97">
        <f t="shared" si="207"/>
        <v>46724</v>
      </c>
      <c r="H1595" s="94">
        <v>10</v>
      </c>
      <c r="I1595" s="94">
        <v>0</v>
      </c>
    </row>
    <row r="1596" spans="1:9">
      <c r="A1596" s="94" t="s">
        <v>128</v>
      </c>
      <c r="B1596" s="94" t="s">
        <v>117</v>
      </c>
      <c r="C1596" s="95"/>
      <c r="D1596" s="96" t="s">
        <v>112</v>
      </c>
      <c r="E1596" s="96"/>
      <c r="F1596" s="97">
        <f>WORKDAY(G1590,1)</f>
        <v>46713</v>
      </c>
      <c r="G1596" s="97">
        <f t="shared" si="207"/>
        <v>46724</v>
      </c>
      <c r="H1596" s="94">
        <v>10</v>
      </c>
      <c r="I1596" s="94">
        <v>0</v>
      </c>
    </row>
    <row r="1597" spans="1:9">
      <c r="A1597" s="77" t="s">
        <v>128</v>
      </c>
      <c r="B1597" s="77" t="s">
        <v>117</v>
      </c>
      <c r="C1597" s="98"/>
      <c r="D1597" s="77" t="s">
        <v>113</v>
      </c>
      <c r="E1597" s="77"/>
      <c r="F1597" s="44">
        <f>WORKDAY(G1595,-4)</f>
        <v>46720</v>
      </c>
      <c r="G1597" s="44">
        <f t="shared" si="207"/>
        <v>46724</v>
      </c>
      <c r="H1597" s="77">
        <v>5</v>
      </c>
      <c r="I1597" s="77">
        <v>1</v>
      </c>
    </row>
    <row r="1598" spans="1:9">
      <c r="A1598" s="77" t="s">
        <v>128</v>
      </c>
      <c r="B1598" s="77" t="s">
        <v>117</v>
      </c>
      <c r="C1598" s="98"/>
      <c r="D1598" s="77" t="s">
        <v>116</v>
      </c>
      <c r="E1598" s="77"/>
      <c r="F1598" s="44">
        <f>WORKDAY(G1595,-4)</f>
        <v>46720</v>
      </c>
      <c r="G1598" s="44">
        <f t="shared" si="207"/>
        <v>46724</v>
      </c>
      <c r="H1598" s="77">
        <v>5</v>
      </c>
      <c r="I1598" s="77">
        <v>0</v>
      </c>
    </row>
    <row r="1599" spans="1:9">
      <c r="A1599" s="5" t="s">
        <v>128</v>
      </c>
      <c r="B1599" s="99" t="s">
        <v>118</v>
      </c>
      <c r="C1599" s="100"/>
      <c r="D1599" s="6" t="s">
        <v>11</v>
      </c>
      <c r="E1599" s="6"/>
      <c r="F1599" s="8">
        <f>WORKDAY(G1548,1)</f>
        <v>46566</v>
      </c>
      <c r="G1599" s="8">
        <f>WORKDAY(F1599,H1599-1,)</f>
        <v>46577</v>
      </c>
      <c r="H1599" s="6">
        <v>10</v>
      </c>
      <c r="I1599" s="6">
        <v>36</v>
      </c>
    </row>
    <row r="1600" spans="1:9">
      <c r="A1600" s="5" t="s">
        <v>128</v>
      </c>
      <c r="B1600" s="99" t="s">
        <v>118</v>
      </c>
      <c r="C1600" s="100"/>
      <c r="D1600" s="6" t="s">
        <v>13</v>
      </c>
      <c r="E1600" s="6"/>
      <c r="F1600" s="8">
        <f>WORKDAY(G1548,1)</f>
        <v>46566</v>
      </c>
      <c r="G1600" s="8">
        <f t="shared" ref="G1600" si="209">WORKDAY(F1600,H1600-1,)</f>
        <v>46577</v>
      </c>
      <c r="H1600" s="6">
        <v>10</v>
      </c>
      <c r="I1600" s="6">
        <v>1</v>
      </c>
    </row>
    <row r="1601" spans="1:9">
      <c r="A1601" s="5" t="s">
        <v>128</v>
      </c>
      <c r="B1601" s="99" t="s">
        <v>118</v>
      </c>
      <c r="C1601" s="100"/>
      <c r="D1601" s="6" t="s">
        <v>15</v>
      </c>
      <c r="E1601" s="6"/>
      <c r="F1601" s="8">
        <f>WORKDAY(G1548,1)</f>
        <v>46566</v>
      </c>
      <c r="G1601" s="8">
        <f>WORKDAY(F1601,H1601-1,)</f>
        <v>46577</v>
      </c>
      <c r="H1601" s="6">
        <v>10</v>
      </c>
      <c r="I1601" s="6">
        <v>1</v>
      </c>
    </row>
    <row r="1602" spans="1:9">
      <c r="A1602" s="11" t="s">
        <v>128</v>
      </c>
      <c r="B1602" s="101" t="s">
        <v>118</v>
      </c>
      <c r="C1602" s="102"/>
      <c r="D1602" s="11" t="s">
        <v>16</v>
      </c>
      <c r="E1602" s="11"/>
      <c r="F1602" s="12">
        <f>WORKDAY(G1601,-4)</f>
        <v>46573</v>
      </c>
      <c r="G1602" s="12">
        <f t="shared" ref="G1602:G1609" si="210">WORKDAY(F1602,H1602-1,)</f>
        <v>46584</v>
      </c>
      <c r="H1602" s="11">
        <v>10</v>
      </c>
      <c r="I1602" s="11">
        <v>5</v>
      </c>
    </row>
    <row r="1603" spans="1:9">
      <c r="A1603" s="11" t="s">
        <v>128</v>
      </c>
      <c r="B1603" s="101" t="s">
        <v>118</v>
      </c>
      <c r="C1603" s="102"/>
      <c r="D1603" s="11" t="s">
        <v>18</v>
      </c>
      <c r="E1603" s="11"/>
      <c r="F1603" s="12">
        <f>WORKDAY(G1601,-4)</f>
        <v>46573</v>
      </c>
      <c r="G1603" s="12">
        <f t="shared" si="210"/>
        <v>46584</v>
      </c>
      <c r="H1603" s="11">
        <v>10</v>
      </c>
      <c r="I1603" s="13">
        <v>4</v>
      </c>
    </row>
    <row r="1604" spans="1:9">
      <c r="A1604" s="11" t="s">
        <v>128</v>
      </c>
      <c r="B1604" s="101" t="s">
        <v>118</v>
      </c>
      <c r="C1604" s="102"/>
      <c r="D1604" s="11" t="s">
        <v>21</v>
      </c>
      <c r="E1604" s="11"/>
      <c r="F1604" s="12">
        <f>WORKDAY(G1601,-4)</f>
        <v>46573</v>
      </c>
      <c r="G1604" s="12">
        <f t="shared" si="210"/>
        <v>46584</v>
      </c>
      <c r="H1604" s="11">
        <v>10</v>
      </c>
      <c r="I1604" s="11">
        <v>3</v>
      </c>
    </row>
    <row r="1605" spans="1:9">
      <c r="A1605" s="11" t="s">
        <v>128</v>
      </c>
      <c r="B1605" s="101" t="s">
        <v>118</v>
      </c>
      <c r="C1605" s="102"/>
      <c r="D1605" s="11" t="s">
        <v>24</v>
      </c>
      <c r="E1605" s="11"/>
      <c r="F1605" s="12">
        <f>WORKDAY(G1601,-4)</f>
        <v>46573</v>
      </c>
      <c r="G1605" s="12">
        <f t="shared" si="210"/>
        <v>46584</v>
      </c>
      <c r="H1605" s="11">
        <v>10</v>
      </c>
      <c r="I1605" s="11">
        <v>0</v>
      </c>
    </row>
    <row r="1606" spans="1:9">
      <c r="A1606" s="17" t="s">
        <v>128</v>
      </c>
      <c r="B1606" s="103" t="s">
        <v>118</v>
      </c>
      <c r="C1606" s="104"/>
      <c r="D1606" s="17" t="s">
        <v>26</v>
      </c>
      <c r="E1606" s="17"/>
      <c r="F1606" s="18">
        <f>WORKDAY(G1605,-4)</f>
        <v>46580</v>
      </c>
      <c r="G1606" s="18">
        <f t="shared" si="210"/>
        <v>46591</v>
      </c>
      <c r="H1606" s="17">
        <v>10</v>
      </c>
      <c r="I1606" s="17">
        <v>2</v>
      </c>
    </row>
    <row r="1607" spans="1:9">
      <c r="A1607" s="21" t="s">
        <v>128</v>
      </c>
      <c r="B1607" s="21" t="s">
        <v>118</v>
      </c>
      <c r="C1607" s="20"/>
      <c r="D1607" s="21" t="s">
        <v>29</v>
      </c>
      <c r="E1607" s="21"/>
      <c r="F1607" s="22">
        <f>WORKDAY(F1606,5)</f>
        <v>46587</v>
      </c>
      <c r="G1607" s="22">
        <f t="shared" si="210"/>
        <v>46591</v>
      </c>
      <c r="H1607" s="21">
        <v>5</v>
      </c>
      <c r="I1607" s="21">
        <v>4</v>
      </c>
    </row>
    <row r="1608" spans="1:9">
      <c r="A1608" s="21" t="s">
        <v>128</v>
      </c>
      <c r="B1608" s="21" t="s">
        <v>118</v>
      </c>
      <c r="C1608" s="20"/>
      <c r="D1608" s="21" t="s">
        <v>32</v>
      </c>
      <c r="E1608" s="21"/>
      <c r="F1608" s="22">
        <f>WORKDAY(G1606,1)</f>
        <v>46594</v>
      </c>
      <c r="G1608" s="22">
        <f t="shared" si="210"/>
        <v>46598</v>
      </c>
      <c r="H1608" s="21">
        <v>5</v>
      </c>
      <c r="I1608" s="21">
        <v>1</v>
      </c>
    </row>
    <row r="1609" spans="1:9">
      <c r="A1609" s="21" t="s">
        <v>128</v>
      </c>
      <c r="B1609" s="21" t="s">
        <v>118</v>
      </c>
      <c r="C1609" s="20"/>
      <c r="D1609" s="21" t="s">
        <v>34</v>
      </c>
      <c r="E1609" s="21"/>
      <c r="F1609" s="22">
        <f>WORKDAY(G1603,1)</f>
        <v>46587</v>
      </c>
      <c r="G1609" s="22">
        <f t="shared" si="210"/>
        <v>46598</v>
      </c>
      <c r="H1609" s="21">
        <v>10</v>
      </c>
      <c r="I1609" s="21">
        <v>3</v>
      </c>
    </row>
    <row r="1610" spans="1:9">
      <c r="A1610" s="31" t="s">
        <v>128</v>
      </c>
      <c r="B1610" s="31" t="s">
        <v>118</v>
      </c>
      <c r="C1610" s="30"/>
      <c r="D1610" s="31" t="s">
        <v>37</v>
      </c>
      <c r="E1610" s="31"/>
      <c r="F1610" s="32">
        <f>WORKDAY(G1609,1)</f>
        <v>46601</v>
      </c>
      <c r="G1610" s="32">
        <f>WORKDAY(F1610,H1610-1,)</f>
        <v>46612</v>
      </c>
      <c r="H1610" s="31">
        <v>10</v>
      </c>
      <c r="I1610" s="128">
        <v>5</v>
      </c>
    </row>
    <row r="1611" spans="1:9">
      <c r="A1611" s="31" t="s">
        <v>128</v>
      </c>
      <c r="B1611" s="31" t="s">
        <v>118</v>
      </c>
      <c r="C1611" s="30"/>
      <c r="D1611" s="31" t="s">
        <v>40</v>
      </c>
      <c r="E1611" s="31"/>
      <c r="F1611" s="32">
        <f>WORKDAY(G1609,1)</f>
        <v>46601</v>
      </c>
      <c r="G1611" s="32">
        <f t="shared" ref="G1611:G1623" si="211">WORKDAY(F1611,H1611-1,)</f>
        <v>46612</v>
      </c>
      <c r="H1611" s="31">
        <v>10</v>
      </c>
      <c r="I1611" s="128"/>
    </row>
    <row r="1612" spans="1:9">
      <c r="A1612" s="31" t="s">
        <v>128</v>
      </c>
      <c r="B1612" s="31" t="s">
        <v>118</v>
      </c>
      <c r="C1612" s="30"/>
      <c r="D1612" s="31" t="s">
        <v>42</v>
      </c>
      <c r="E1612" s="31"/>
      <c r="F1612" s="32">
        <f>WORKDAY(G1609,1)</f>
        <v>46601</v>
      </c>
      <c r="G1612" s="32">
        <f t="shared" si="211"/>
        <v>46612</v>
      </c>
      <c r="H1612" s="31">
        <v>10</v>
      </c>
      <c r="I1612" s="128"/>
    </row>
    <row r="1613" spans="1:9">
      <c r="A1613" s="31" t="s">
        <v>128</v>
      </c>
      <c r="B1613" s="31" t="s">
        <v>118</v>
      </c>
      <c r="C1613" s="30"/>
      <c r="D1613" s="31" t="s">
        <v>44</v>
      </c>
      <c r="E1613" s="31"/>
      <c r="F1613" s="32">
        <f>WORKDAY(G1609,1)</f>
        <v>46601</v>
      </c>
      <c r="G1613" s="32">
        <f t="shared" si="211"/>
        <v>46612</v>
      </c>
      <c r="H1613" s="31">
        <v>10</v>
      </c>
      <c r="I1613" s="128"/>
    </row>
    <row r="1614" spans="1:9">
      <c r="A1614" s="31" t="s">
        <v>128</v>
      </c>
      <c r="B1614" s="31" t="s">
        <v>118</v>
      </c>
      <c r="C1614" s="30"/>
      <c r="D1614" s="31" t="s">
        <v>45</v>
      </c>
      <c r="E1614" s="31"/>
      <c r="F1614" s="32">
        <f>WORKDAY(G1609,1)</f>
        <v>46601</v>
      </c>
      <c r="G1614" s="32">
        <f t="shared" si="211"/>
        <v>46612</v>
      </c>
      <c r="H1614" s="31">
        <v>10</v>
      </c>
      <c r="I1614" s="31">
        <v>5</v>
      </c>
    </row>
    <row r="1615" spans="1:9">
      <c r="A1615" s="25" t="s">
        <v>128</v>
      </c>
      <c r="B1615" s="25" t="s">
        <v>118</v>
      </c>
      <c r="C1615" s="105"/>
      <c r="D1615" s="26" t="s">
        <v>47</v>
      </c>
      <c r="E1615" s="26"/>
      <c r="F1615" s="27">
        <f>WORKDAY(G1614,-4)</f>
        <v>46608</v>
      </c>
      <c r="G1615" s="28">
        <f t="shared" si="211"/>
        <v>46619</v>
      </c>
      <c r="H1615" s="26">
        <v>10</v>
      </c>
      <c r="I1615" s="26">
        <v>11</v>
      </c>
    </row>
    <row r="1616" spans="1:9">
      <c r="A1616" s="77" t="s">
        <v>128</v>
      </c>
      <c r="B1616" s="77" t="s">
        <v>118</v>
      </c>
      <c r="C1616" s="98"/>
      <c r="D1616" s="42" t="s">
        <v>50</v>
      </c>
      <c r="E1616" s="42"/>
      <c r="F1616" s="43">
        <f>WORKDAY(G1614,1)</f>
        <v>46615</v>
      </c>
      <c r="G1616" s="44">
        <f t="shared" si="211"/>
        <v>46615</v>
      </c>
      <c r="H1616" s="42">
        <v>1</v>
      </c>
      <c r="I1616" s="42">
        <v>0</v>
      </c>
    </row>
    <row r="1617" spans="1:9">
      <c r="A1617" s="21" t="s">
        <v>128</v>
      </c>
      <c r="B1617" s="21" t="s">
        <v>118</v>
      </c>
      <c r="C1617" s="20"/>
      <c r="D1617" s="47" t="s">
        <v>52</v>
      </c>
      <c r="E1617" s="47"/>
      <c r="F1617" s="48">
        <f>WORKDAY(G1615,1)</f>
        <v>46622</v>
      </c>
      <c r="G1617" s="22">
        <f t="shared" si="211"/>
        <v>46633</v>
      </c>
      <c r="H1617" s="47">
        <v>10</v>
      </c>
      <c r="I1617" s="47">
        <v>5</v>
      </c>
    </row>
    <row r="1618" spans="1:9">
      <c r="A1618" s="21" t="s">
        <v>128</v>
      </c>
      <c r="B1618" s="21" t="s">
        <v>118</v>
      </c>
      <c r="C1618" s="20"/>
      <c r="D1618" s="49" t="s">
        <v>55</v>
      </c>
      <c r="E1618" s="49"/>
      <c r="F1618" s="48">
        <f>WORKDAY(G1615,1)</f>
        <v>46622</v>
      </c>
      <c r="G1618" s="22">
        <f t="shared" si="211"/>
        <v>46633</v>
      </c>
      <c r="H1618" s="47">
        <v>10</v>
      </c>
      <c r="I1618" s="47">
        <v>0</v>
      </c>
    </row>
    <row r="1619" spans="1:9">
      <c r="A1619" s="52" t="s">
        <v>128</v>
      </c>
      <c r="B1619" s="110" t="s">
        <v>118</v>
      </c>
      <c r="C1619" s="111"/>
      <c r="D1619" s="52" t="s">
        <v>56</v>
      </c>
      <c r="E1619" s="52"/>
      <c r="F1619" s="53">
        <f t="shared" ref="F1619" si="212">WORKDAY(G1618,1)</f>
        <v>46636</v>
      </c>
      <c r="G1619" s="53">
        <f t="shared" si="211"/>
        <v>46647</v>
      </c>
      <c r="H1619" s="52">
        <v>10</v>
      </c>
      <c r="I1619" s="52">
        <v>7</v>
      </c>
    </row>
    <row r="1620" spans="1:9">
      <c r="A1620" s="52" t="s">
        <v>128</v>
      </c>
      <c r="B1620" s="110" t="s">
        <v>118</v>
      </c>
      <c r="C1620" s="111"/>
      <c r="D1620" s="52" t="s">
        <v>59</v>
      </c>
      <c r="E1620" s="52"/>
      <c r="F1620" s="53">
        <f>WORKDAY(G1618,1)</f>
        <v>46636</v>
      </c>
      <c r="G1620" s="53">
        <f t="shared" si="211"/>
        <v>46636</v>
      </c>
      <c r="H1620" s="52">
        <v>1</v>
      </c>
      <c r="I1620" s="52">
        <v>5</v>
      </c>
    </row>
    <row r="1621" spans="1:9">
      <c r="A1621" s="124" t="s">
        <v>128</v>
      </c>
      <c r="B1621" s="112" t="s">
        <v>118</v>
      </c>
      <c r="C1621" s="113"/>
      <c r="D1621" s="56" t="s">
        <v>62</v>
      </c>
      <c r="E1621" s="56"/>
      <c r="F1621" s="57">
        <f>WORKDAY(G1619,-4)</f>
        <v>46643</v>
      </c>
      <c r="G1621" s="57">
        <f t="shared" si="211"/>
        <v>46654</v>
      </c>
      <c r="H1621" s="56">
        <v>10</v>
      </c>
      <c r="I1621" s="56">
        <v>10</v>
      </c>
    </row>
    <row r="1622" spans="1:9">
      <c r="A1622" s="124" t="s">
        <v>128</v>
      </c>
      <c r="B1622" s="112" t="s">
        <v>118</v>
      </c>
      <c r="C1622" s="113"/>
      <c r="D1622" s="56" t="s">
        <v>64</v>
      </c>
      <c r="E1622" s="56"/>
      <c r="F1622" s="57">
        <f>WORKDAY(F1621,1)</f>
        <v>46644</v>
      </c>
      <c r="G1622" s="57">
        <f t="shared" si="211"/>
        <v>46654</v>
      </c>
      <c r="H1622" s="56">
        <v>9</v>
      </c>
      <c r="I1622" s="56">
        <v>0</v>
      </c>
    </row>
    <row r="1623" spans="1:9">
      <c r="A1623" s="31" t="s">
        <v>128</v>
      </c>
      <c r="B1623" s="31" t="s">
        <v>118</v>
      </c>
      <c r="C1623" s="30"/>
      <c r="D1623" s="58" t="s">
        <v>65</v>
      </c>
      <c r="E1623" s="58"/>
      <c r="F1623" s="59">
        <f>WORKDAY(G1621,1)</f>
        <v>46657</v>
      </c>
      <c r="G1623" s="32">
        <f t="shared" si="211"/>
        <v>46668</v>
      </c>
      <c r="H1623" s="58">
        <v>10</v>
      </c>
      <c r="I1623" s="58">
        <v>4</v>
      </c>
    </row>
    <row r="1624" spans="1:9">
      <c r="A1624" s="106" t="s">
        <v>128</v>
      </c>
      <c r="B1624" s="107" t="s">
        <v>118</v>
      </c>
      <c r="C1624" s="108"/>
      <c r="D1624" s="64" t="s">
        <v>68</v>
      </c>
      <c r="E1624" s="64"/>
      <c r="F1624" s="65">
        <f>WORKDAY(G1623,1)</f>
        <v>46671</v>
      </c>
      <c r="G1624" s="65">
        <f>WORKDAY(F1624,H1624-1,)</f>
        <v>46682</v>
      </c>
      <c r="H1624" s="64">
        <v>10</v>
      </c>
      <c r="I1624" s="130">
        <v>4</v>
      </c>
    </row>
    <row r="1625" spans="1:9">
      <c r="A1625" s="106" t="s">
        <v>128</v>
      </c>
      <c r="B1625" s="107" t="s">
        <v>118</v>
      </c>
      <c r="C1625" s="108"/>
      <c r="D1625" s="64" t="s">
        <v>71</v>
      </c>
      <c r="E1625" s="64"/>
      <c r="F1625" s="65">
        <f>WORKDAY(G1623,1)</f>
        <v>46671</v>
      </c>
      <c r="G1625" s="65">
        <f t="shared" ref="G1625:G1627" si="213">WORKDAY(F1624,H1624-1,)</f>
        <v>46682</v>
      </c>
      <c r="H1625" s="64">
        <v>10</v>
      </c>
      <c r="I1625" s="130"/>
    </row>
    <row r="1626" spans="1:9">
      <c r="A1626" s="106" t="s">
        <v>128</v>
      </c>
      <c r="B1626" s="107" t="s">
        <v>118</v>
      </c>
      <c r="C1626" s="108"/>
      <c r="D1626" s="64" t="s">
        <v>72</v>
      </c>
      <c r="E1626" s="64"/>
      <c r="F1626" s="65">
        <f>WORKDAY(G1623,1)</f>
        <v>46671</v>
      </c>
      <c r="G1626" s="65">
        <f t="shared" si="213"/>
        <v>46682</v>
      </c>
      <c r="H1626" s="64">
        <v>10</v>
      </c>
      <c r="I1626" s="130"/>
    </row>
    <row r="1627" spans="1:9">
      <c r="A1627" s="106" t="s">
        <v>128</v>
      </c>
      <c r="B1627" s="107" t="s">
        <v>118</v>
      </c>
      <c r="C1627" s="108"/>
      <c r="D1627" s="64" t="s">
        <v>73</v>
      </c>
      <c r="E1627" s="64"/>
      <c r="F1627" s="65">
        <f>WORKDAY(G1623,1)</f>
        <v>46671</v>
      </c>
      <c r="G1627" s="65">
        <f t="shared" si="213"/>
        <v>46682</v>
      </c>
      <c r="H1627" s="64">
        <v>10</v>
      </c>
      <c r="I1627" s="130"/>
    </row>
    <row r="1628" spans="1:9">
      <c r="A1628" s="107" t="s">
        <v>128</v>
      </c>
      <c r="B1628" s="107" t="s">
        <v>118</v>
      </c>
      <c r="C1628" s="108"/>
      <c r="D1628" s="64" t="s">
        <v>74</v>
      </c>
      <c r="E1628" s="64"/>
      <c r="F1628" s="65">
        <f>WORKDAY(G1623,1)</f>
        <v>46671</v>
      </c>
      <c r="G1628" s="66">
        <f>WORKDAY(F1628,H1628-1,)</f>
        <v>46682</v>
      </c>
      <c r="H1628" s="64">
        <v>10</v>
      </c>
      <c r="I1628" s="64">
        <v>6</v>
      </c>
    </row>
    <row r="1629" spans="1:9">
      <c r="A1629" s="107" t="s">
        <v>128</v>
      </c>
      <c r="B1629" s="107" t="s">
        <v>118</v>
      </c>
      <c r="C1629" s="108"/>
      <c r="D1629" s="64" t="s">
        <v>77</v>
      </c>
      <c r="E1629" s="64"/>
      <c r="F1629" s="65">
        <f>WORKDAY(G1623,1)</f>
        <v>46671</v>
      </c>
      <c r="G1629" s="66">
        <f t="shared" ref="G1629:G1651" si="214">WORKDAY(F1629,H1629-1,)</f>
        <v>46682</v>
      </c>
      <c r="H1629" s="64">
        <v>10</v>
      </c>
      <c r="I1629" s="64">
        <v>1</v>
      </c>
    </row>
    <row r="1630" spans="1:9">
      <c r="A1630" s="107" t="s">
        <v>128</v>
      </c>
      <c r="B1630" s="107" t="s">
        <v>118</v>
      </c>
      <c r="C1630" s="108"/>
      <c r="D1630" s="64" t="s">
        <v>80</v>
      </c>
      <c r="E1630" s="64"/>
      <c r="F1630" s="65">
        <f>WORKDAY(G1623,1)</f>
        <v>46671</v>
      </c>
      <c r="G1630" s="66">
        <f t="shared" si="214"/>
        <v>46682</v>
      </c>
      <c r="H1630" s="64">
        <v>10</v>
      </c>
      <c r="I1630" s="64">
        <v>0</v>
      </c>
    </row>
    <row r="1631" spans="1:9">
      <c r="A1631" s="107" t="s">
        <v>128</v>
      </c>
      <c r="B1631" s="107" t="s">
        <v>118</v>
      </c>
      <c r="C1631" s="108"/>
      <c r="D1631" s="64" t="s">
        <v>81</v>
      </c>
      <c r="E1631" s="64"/>
      <c r="F1631" s="65">
        <f>WORKDAY(G1623,1)</f>
        <v>46671</v>
      </c>
      <c r="G1631" s="66">
        <f t="shared" si="214"/>
        <v>46682</v>
      </c>
      <c r="H1631" s="64">
        <v>10</v>
      </c>
      <c r="I1631" s="64">
        <v>4</v>
      </c>
    </row>
    <row r="1632" spans="1:9">
      <c r="A1632" s="70" t="s">
        <v>128</v>
      </c>
      <c r="B1632" s="70" t="s">
        <v>118</v>
      </c>
      <c r="C1632" s="69"/>
      <c r="D1632" s="70" t="s">
        <v>82</v>
      </c>
      <c r="E1632" s="70"/>
      <c r="F1632" s="71">
        <f t="shared" ref="F1632" si="215">WORKDAY(G1631,1)</f>
        <v>46685</v>
      </c>
      <c r="G1632" s="71">
        <f t="shared" si="214"/>
        <v>46696</v>
      </c>
      <c r="H1632" s="70">
        <v>10</v>
      </c>
      <c r="I1632" s="70">
        <v>4</v>
      </c>
    </row>
    <row r="1633" spans="1:9">
      <c r="A1633" s="77" t="s">
        <v>128</v>
      </c>
      <c r="B1633" s="77" t="s">
        <v>118</v>
      </c>
      <c r="C1633" s="98"/>
      <c r="D1633" s="75" t="s">
        <v>85</v>
      </c>
      <c r="E1633" s="75"/>
      <c r="F1633" s="76">
        <f>WORKDAY(G1632,-1)</f>
        <v>46695</v>
      </c>
      <c r="G1633" s="44">
        <f t="shared" si="214"/>
        <v>46699</v>
      </c>
      <c r="H1633" s="75">
        <v>3</v>
      </c>
      <c r="I1633" s="75">
        <v>12</v>
      </c>
    </row>
    <row r="1634" spans="1:9">
      <c r="A1634" s="77" t="s">
        <v>128</v>
      </c>
      <c r="B1634" s="77" t="s">
        <v>118</v>
      </c>
      <c r="C1634" s="98"/>
      <c r="D1634" s="75" t="s">
        <v>86</v>
      </c>
      <c r="E1634" s="75"/>
      <c r="F1634" s="76">
        <f>WORKDAY(G1632,1)</f>
        <v>46699</v>
      </c>
      <c r="G1634" s="44">
        <f t="shared" si="214"/>
        <v>46710</v>
      </c>
      <c r="H1634" s="75">
        <v>10</v>
      </c>
      <c r="I1634" s="75">
        <v>0</v>
      </c>
    </row>
    <row r="1635" spans="1:9">
      <c r="A1635" s="78" t="s">
        <v>128</v>
      </c>
      <c r="B1635" s="78" t="s">
        <v>118</v>
      </c>
      <c r="C1635" s="109"/>
      <c r="D1635" s="79" t="s">
        <v>87</v>
      </c>
      <c r="E1635" s="79"/>
      <c r="F1635" s="81">
        <f>WORKDAY(F1633,4)</f>
        <v>46701</v>
      </c>
      <c r="G1635" s="82">
        <f t="shared" si="214"/>
        <v>46714</v>
      </c>
      <c r="H1635" s="79">
        <v>10</v>
      </c>
      <c r="I1635" s="79">
        <v>4</v>
      </c>
    </row>
    <row r="1636" spans="1:9">
      <c r="A1636" s="83" t="s">
        <v>128</v>
      </c>
      <c r="B1636" s="114" t="s">
        <v>118</v>
      </c>
      <c r="C1636" s="115"/>
      <c r="D1636" s="83" t="s">
        <v>89</v>
      </c>
      <c r="E1636" s="83"/>
      <c r="F1636" s="85">
        <f>WORKDAY(F1635,3)</f>
        <v>46706</v>
      </c>
      <c r="G1636" s="85">
        <f t="shared" si="214"/>
        <v>46717</v>
      </c>
      <c r="H1636" s="83">
        <v>10</v>
      </c>
      <c r="I1636" s="127">
        <v>1</v>
      </c>
    </row>
    <row r="1637" spans="1:9">
      <c r="A1637" s="83" t="s">
        <v>128</v>
      </c>
      <c r="B1637" s="114" t="s">
        <v>118</v>
      </c>
      <c r="C1637" s="115"/>
      <c r="D1637" s="83" t="s">
        <v>91</v>
      </c>
      <c r="E1637" s="83"/>
      <c r="F1637" s="85">
        <f>WORKDAY(F1635,3)</f>
        <v>46706</v>
      </c>
      <c r="G1637" s="85">
        <f t="shared" si="214"/>
        <v>46717</v>
      </c>
      <c r="H1637" s="83">
        <v>10</v>
      </c>
      <c r="I1637" s="127"/>
    </row>
    <row r="1638" spans="1:9">
      <c r="A1638" s="83" t="s">
        <v>128</v>
      </c>
      <c r="B1638" s="114" t="s">
        <v>118</v>
      </c>
      <c r="C1638" s="115"/>
      <c r="D1638" s="83" t="s">
        <v>92</v>
      </c>
      <c r="E1638" s="83"/>
      <c r="F1638" s="85">
        <f>WORKDAY(F1635,3)</f>
        <v>46706</v>
      </c>
      <c r="G1638" s="85">
        <f t="shared" si="214"/>
        <v>46717</v>
      </c>
      <c r="H1638" s="83">
        <v>10</v>
      </c>
      <c r="I1638" s="127"/>
    </row>
    <row r="1639" spans="1:9">
      <c r="A1639" s="83" t="s">
        <v>128</v>
      </c>
      <c r="B1639" s="114" t="s">
        <v>118</v>
      </c>
      <c r="C1639" s="115"/>
      <c r="D1639" s="83" t="s">
        <v>93</v>
      </c>
      <c r="E1639" s="83"/>
      <c r="F1639" s="85">
        <f>WORKDAY(F1635,3)</f>
        <v>46706</v>
      </c>
      <c r="G1639" s="85">
        <f t="shared" si="214"/>
        <v>46717</v>
      </c>
      <c r="H1639" s="83">
        <v>10</v>
      </c>
      <c r="I1639" s="127"/>
    </row>
    <row r="1640" spans="1:9">
      <c r="A1640" s="83" t="s">
        <v>128</v>
      </c>
      <c r="B1640" s="114" t="s">
        <v>118</v>
      </c>
      <c r="C1640" s="115"/>
      <c r="D1640" s="83" t="s">
        <v>94</v>
      </c>
      <c r="E1640" s="83"/>
      <c r="F1640" s="85">
        <f>WORKDAY(F1635,3)</f>
        <v>46706</v>
      </c>
      <c r="G1640" s="85">
        <f t="shared" si="214"/>
        <v>46717</v>
      </c>
      <c r="H1640" s="83">
        <v>10</v>
      </c>
      <c r="I1640" s="83">
        <v>1</v>
      </c>
    </row>
    <row r="1641" spans="1:9">
      <c r="A1641" s="86" t="s">
        <v>128</v>
      </c>
      <c r="B1641" s="116" t="s">
        <v>118</v>
      </c>
      <c r="C1641" s="117"/>
      <c r="D1641" s="86" t="s">
        <v>95</v>
      </c>
      <c r="E1641" s="86"/>
      <c r="F1641" s="88">
        <f>WORKDAY(F1640,3)</f>
        <v>46709</v>
      </c>
      <c r="G1641" s="88">
        <f t="shared" si="214"/>
        <v>46717</v>
      </c>
      <c r="H1641" s="86">
        <v>7</v>
      </c>
      <c r="I1641" s="86">
        <v>0</v>
      </c>
    </row>
    <row r="1642" spans="1:9">
      <c r="A1642" s="89" t="s">
        <v>128</v>
      </c>
      <c r="B1642" s="89" t="s">
        <v>118</v>
      </c>
      <c r="C1642" s="90"/>
      <c r="D1642" s="89" t="s">
        <v>96</v>
      </c>
      <c r="E1642" s="89"/>
      <c r="F1642" s="91">
        <f>WORKDAY(F1641,2)</f>
        <v>46713</v>
      </c>
      <c r="G1642" s="91">
        <f t="shared" si="214"/>
        <v>46724</v>
      </c>
      <c r="H1642" s="89">
        <v>10</v>
      </c>
      <c r="I1642" s="89">
        <v>2</v>
      </c>
    </row>
    <row r="1643" spans="1:9">
      <c r="A1643" s="89" t="s">
        <v>128</v>
      </c>
      <c r="B1643" s="89" t="s">
        <v>118</v>
      </c>
      <c r="C1643" s="90"/>
      <c r="D1643" s="89" t="s">
        <v>98</v>
      </c>
      <c r="E1643" s="89"/>
      <c r="F1643" s="91">
        <f>WORKDAY(F1641,2)</f>
        <v>46713</v>
      </c>
      <c r="G1643" s="91">
        <f t="shared" si="214"/>
        <v>46724</v>
      </c>
      <c r="H1643" s="89">
        <v>10</v>
      </c>
      <c r="I1643" s="89">
        <v>9</v>
      </c>
    </row>
    <row r="1644" spans="1:9">
      <c r="A1644" s="89" t="s">
        <v>128</v>
      </c>
      <c r="B1644" s="89" t="s">
        <v>118</v>
      </c>
      <c r="C1644" s="90"/>
      <c r="D1644" s="89" t="s">
        <v>101</v>
      </c>
      <c r="E1644" s="89"/>
      <c r="F1644" s="91">
        <f>WORKDAY(F1641,2)</f>
        <v>46713</v>
      </c>
      <c r="G1644" s="91">
        <f t="shared" si="214"/>
        <v>46724</v>
      </c>
      <c r="H1644" s="89">
        <v>10</v>
      </c>
      <c r="I1644" s="89">
        <v>0</v>
      </c>
    </row>
    <row r="1645" spans="1:9">
      <c r="A1645" s="38" t="s">
        <v>128</v>
      </c>
      <c r="B1645" s="38" t="s">
        <v>118</v>
      </c>
      <c r="C1645" s="92"/>
      <c r="D1645" s="38" t="s">
        <v>103</v>
      </c>
      <c r="E1645" s="38"/>
      <c r="F1645" s="93">
        <f>WORKDAY(G1643,-4)</f>
        <v>46720</v>
      </c>
      <c r="G1645" s="93">
        <f t="shared" si="214"/>
        <v>46722</v>
      </c>
      <c r="H1645" s="38">
        <v>3</v>
      </c>
      <c r="I1645" s="38">
        <v>0</v>
      </c>
    </row>
    <row r="1646" spans="1:9">
      <c r="A1646" s="38" t="s">
        <v>128</v>
      </c>
      <c r="B1646" s="38" t="s">
        <v>118</v>
      </c>
      <c r="C1646" s="92"/>
      <c r="D1646" s="38" t="s">
        <v>106</v>
      </c>
      <c r="E1646" s="38"/>
      <c r="F1646" s="93">
        <f>WORKDAY(G1643,-4)</f>
        <v>46720</v>
      </c>
      <c r="G1646" s="93">
        <f t="shared" si="214"/>
        <v>46731</v>
      </c>
      <c r="H1646" s="38">
        <v>10</v>
      </c>
      <c r="I1646" s="38">
        <v>10</v>
      </c>
    </row>
    <row r="1647" spans="1:9">
      <c r="A1647" s="38" t="s">
        <v>128</v>
      </c>
      <c r="B1647" s="38" t="s">
        <v>118</v>
      </c>
      <c r="C1647" s="92"/>
      <c r="D1647" s="38" t="s">
        <v>108</v>
      </c>
      <c r="E1647" s="38"/>
      <c r="F1647" s="93">
        <f>WORKDAY(G1643,-4)</f>
        <v>46720</v>
      </c>
      <c r="G1647" s="93">
        <f t="shared" si="214"/>
        <v>46731</v>
      </c>
      <c r="H1647" s="38">
        <v>10</v>
      </c>
      <c r="I1647" s="38">
        <v>6</v>
      </c>
    </row>
    <row r="1648" spans="1:9">
      <c r="A1648" s="94" t="s">
        <v>128</v>
      </c>
      <c r="B1648" s="94" t="s">
        <v>118</v>
      </c>
      <c r="C1648" s="95"/>
      <c r="D1648" s="96" t="s">
        <v>109</v>
      </c>
      <c r="E1648" s="96"/>
      <c r="F1648" s="97">
        <f>WORKDAY(G1643,1)</f>
        <v>46727</v>
      </c>
      <c r="G1648" s="97">
        <f t="shared" si="214"/>
        <v>46738</v>
      </c>
      <c r="H1648" s="94">
        <v>10</v>
      </c>
      <c r="I1648" s="94">
        <v>0</v>
      </c>
    </row>
    <row r="1649" spans="1:9">
      <c r="A1649" s="94" t="s">
        <v>128</v>
      </c>
      <c r="B1649" s="94" t="s">
        <v>118</v>
      </c>
      <c r="C1649" s="95"/>
      <c r="D1649" s="96" t="s">
        <v>112</v>
      </c>
      <c r="E1649" s="96"/>
      <c r="F1649" s="97">
        <f>WORKDAY(G1643,1)</f>
        <v>46727</v>
      </c>
      <c r="G1649" s="97">
        <f t="shared" si="214"/>
        <v>46738</v>
      </c>
      <c r="H1649" s="94">
        <v>10</v>
      </c>
      <c r="I1649" s="94">
        <v>0</v>
      </c>
    </row>
    <row r="1650" spans="1:9">
      <c r="A1650" s="77" t="s">
        <v>128</v>
      </c>
      <c r="B1650" s="77" t="s">
        <v>118</v>
      </c>
      <c r="C1650" s="98"/>
      <c r="D1650" s="77" t="s">
        <v>113</v>
      </c>
      <c r="E1650" s="77"/>
      <c r="F1650" s="44">
        <f>WORKDAY(G1648,-4)</f>
        <v>46734</v>
      </c>
      <c r="G1650" s="44">
        <f t="shared" si="214"/>
        <v>46738</v>
      </c>
      <c r="H1650" s="77">
        <v>5</v>
      </c>
      <c r="I1650" s="77">
        <v>1</v>
      </c>
    </row>
    <row r="1651" spans="1:9">
      <c r="A1651" s="77" t="s">
        <v>128</v>
      </c>
      <c r="B1651" s="77" t="s">
        <v>118</v>
      </c>
      <c r="C1651" s="98"/>
      <c r="D1651" s="77" t="s">
        <v>116</v>
      </c>
      <c r="E1651" s="77"/>
      <c r="F1651" s="44">
        <f>WORKDAY(G1648,-4)</f>
        <v>46734</v>
      </c>
      <c r="G1651" s="44">
        <f t="shared" si="214"/>
        <v>46738</v>
      </c>
      <c r="H1651" s="77">
        <v>5</v>
      </c>
      <c r="I1651" s="77">
        <v>0</v>
      </c>
    </row>
    <row r="1652" spans="1:9">
      <c r="A1652" s="5" t="s">
        <v>128</v>
      </c>
      <c r="B1652" s="99" t="s">
        <v>119</v>
      </c>
      <c r="C1652" s="100"/>
      <c r="D1652" s="6" t="s">
        <v>11</v>
      </c>
      <c r="E1652" s="6"/>
      <c r="F1652" s="8">
        <f>WORKDAY(G1601,1)</f>
        <v>46580</v>
      </c>
      <c r="G1652" s="8">
        <f>WORKDAY(F1652,H1652-1,)</f>
        <v>46591</v>
      </c>
      <c r="H1652" s="6">
        <v>10</v>
      </c>
      <c r="I1652" s="6">
        <v>0</v>
      </c>
    </row>
    <row r="1653" spans="1:9">
      <c r="A1653" s="5" t="s">
        <v>128</v>
      </c>
      <c r="B1653" s="99" t="s">
        <v>119</v>
      </c>
      <c r="C1653" s="100"/>
      <c r="D1653" s="6" t="s">
        <v>13</v>
      </c>
      <c r="E1653" s="6"/>
      <c r="F1653" s="8">
        <f>WORKDAY(G1601,1)</f>
        <v>46580</v>
      </c>
      <c r="G1653" s="8">
        <f t="shared" ref="G1653" si="216">WORKDAY(F1653,H1653-1,)</f>
        <v>46591</v>
      </c>
      <c r="H1653" s="6">
        <v>10</v>
      </c>
      <c r="I1653" s="6">
        <v>0</v>
      </c>
    </row>
    <row r="1654" spans="1:9">
      <c r="A1654" s="5" t="s">
        <v>128</v>
      </c>
      <c r="B1654" s="99" t="s">
        <v>119</v>
      </c>
      <c r="C1654" s="100"/>
      <c r="D1654" s="6" t="s">
        <v>15</v>
      </c>
      <c r="E1654" s="6"/>
      <c r="F1654" s="8">
        <f>WORKDAY(G1600,1)</f>
        <v>46580</v>
      </c>
      <c r="G1654" s="8">
        <f>WORKDAY(F1654,H1654-1,)</f>
        <v>46591</v>
      </c>
      <c r="H1654" s="6">
        <v>10</v>
      </c>
      <c r="I1654" s="6">
        <v>0</v>
      </c>
    </row>
    <row r="1655" spans="1:9">
      <c r="A1655" s="5" t="s">
        <v>128</v>
      </c>
      <c r="B1655" s="99" t="s">
        <v>119</v>
      </c>
      <c r="C1655" s="100"/>
      <c r="D1655" s="6" t="s">
        <v>120</v>
      </c>
      <c r="E1655" s="6"/>
      <c r="F1655" s="8">
        <f>WORKDAY(G1601,1)</f>
        <v>46580</v>
      </c>
      <c r="G1655" s="8">
        <f>WORKDAY(F1655,H1655-1,)</f>
        <v>46591</v>
      </c>
      <c r="H1655" s="6">
        <v>10</v>
      </c>
      <c r="I1655" s="6">
        <v>0</v>
      </c>
    </row>
    <row r="1656" spans="1:9">
      <c r="A1656" s="11" t="s">
        <v>128</v>
      </c>
      <c r="B1656" s="101" t="s">
        <v>119</v>
      </c>
      <c r="C1656" s="102"/>
      <c r="D1656" s="11" t="s">
        <v>16</v>
      </c>
      <c r="E1656" s="11"/>
      <c r="F1656" s="12">
        <f>WORKDAY(G1655,-4)</f>
        <v>46587</v>
      </c>
      <c r="G1656" s="12">
        <f t="shared" ref="G1656:G1663" si="217">WORKDAY(F1656,H1656-1,)</f>
        <v>46598</v>
      </c>
      <c r="H1656" s="11">
        <v>10</v>
      </c>
      <c r="I1656" s="11">
        <v>0</v>
      </c>
    </row>
    <row r="1657" spans="1:9">
      <c r="A1657" s="11" t="s">
        <v>128</v>
      </c>
      <c r="B1657" s="101" t="s">
        <v>119</v>
      </c>
      <c r="C1657" s="102"/>
      <c r="D1657" s="11" t="s">
        <v>18</v>
      </c>
      <c r="E1657" s="11"/>
      <c r="F1657" s="12">
        <f>WORKDAY(G1655,-4)</f>
        <v>46587</v>
      </c>
      <c r="G1657" s="12">
        <f t="shared" si="217"/>
        <v>46598</v>
      </c>
      <c r="H1657" s="11">
        <v>10</v>
      </c>
      <c r="I1657" s="13">
        <v>0</v>
      </c>
    </row>
    <row r="1658" spans="1:9">
      <c r="A1658" s="11" t="s">
        <v>128</v>
      </c>
      <c r="B1658" s="101" t="s">
        <v>119</v>
      </c>
      <c r="C1658" s="102"/>
      <c r="D1658" s="11" t="s">
        <v>21</v>
      </c>
      <c r="E1658" s="11"/>
      <c r="F1658" s="12">
        <f>WORKDAY(G1655,-4)</f>
        <v>46587</v>
      </c>
      <c r="G1658" s="12">
        <f t="shared" si="217"/>
        <v>46598</v>
      </c>
      <c r="H1658" s="11">
        <v>10</v>
      </c>
      <c r="I1658" s="11">
        <v>3</v>
      </c>
    </row>
    <row r="1659" spans="1:9">
      <c r="A1659" s="11" t="s">
        <v>128</v>
      </c>
      <c r="B1659" s="101" t="s">
        <v>119</v>
      </c>
      <c r="C1659" s="102"/>
      <c r="D1659" s="11" t="s">
        <v>24</v>
      </c>
      <c r="E1659" s="11"/>
      <c r="F1659" s="12">
        <f>WORKDAY(G1655,-4)</f>
        <v>46587</v>
      </c>
      <c r="G1659" s="12">
        <f t="shared" si="217"/>
        <v>46598</v>
      </c>
      <c r="H1659" s="11">
        <v>10</v>
      </c>
      <c r="I1659" s="11">
        <v>0</v>
      </c>
    </row>
    <row r="1660" spans="1:9">
      <c r="A1660" s="17" t="s">
        <v>128</v>
      </c>
      <c r="B1660" s="103" t="s">
        <v>119</v>
      </c>
      <c r="C1660" s="104"/>
      <c r="D1660" s="17" t="s">
        <v>26</v>
      </c>
      <c r="E1660" s="17"/>
      <c r="F1660" s="18">
        <f>WORKDAY(G1659,-4)</f>
        <v>46594</v>
      </c>
      <c r="G1660" s="18">
        <f t="shared" si="217"/>
        <v>46605</v>
      </c>
      <c r="H1660" s="17">
        <v>10</v>
      </c>
      <c r="I1660" s="17">
        <v>2</v>
      </c>
    </row>
    <row r="1661" spans="1:9">
      <c r="A1661" s="21" t="s">
        <v>128</v>
      </c>
      <c r="B1661" s="21" t="s">
        <v>119</v>
      </c>
      <c r="C1661" s="20"/>
      <c r="D1661" s="21" t="s">
        <v>29</v>
      </c>
      <c r="E1661" s="21"/>
      <c r="F1661" s="22">
        <f>WORKDAY(F1660,5)</f>
        <v>46601</v>
      </c>
      <c r="G1661" s="22">
        <f t="shared" si="217"/>
        <v>46605</v>
      </c>
      <c r="H1661" s="21">
        <v>5</v>
      </c>
      <c r="I1661" s="21">
        <v>4</v>
      </c>
    </row>
    <row r="1662" spans="1:9">
      <c r="A1662" s="21" t="s">
        <v>128</v>
      </c>
      <c r="B1662" s="21" t="s">
        <v>119</v>
      </c>
      <c r="C1662" s="20"/>
      <c r="D1662" s="21" t="s">
        <v>32</v>
      </c>
      <c r="E1662" s="21"/>
      <c r="F1662" s="22">
        <f>WORKDAY(G1660,1)</f>
        <v>46608</v>
      </c>
      <c r="G1662" s="22">
        <f t="shared" si="217"/>
        <v>46612</v>
      </c>
      <c r="H1662" s="21">
        <v>5</v>
      </c>
      <c r="I1662" s="21">
        <v>0</v>
      </c>
    </row>
    <row r="1663" spans="1:9">
      <c r="A1663" s="21" t="s">
        <v>128</v>
      </c>
      <c r="B1663" s="21" t="s">
        <v>119</v>
      </c>
      <c r="C1663" s="20"/>
      <c r="D1663" s="21" t="s">
        <v>34</v>
      </c>
      <c r="E1663" s="21"/>
      <c r="F1663" s="22">
        <f>WORKDAY(G1657,1)</f>
        <v>46601</v>
      </c>
      <c r="G1663" s="22">
        <f t="shared" si="217"/>
        <v>46612</v>
      </c>
      <c r="H1663" s="21">
        <v>10</v>
      </c>
      <c r="I1663" s="21">
        <v>1</v>
      </c>
    </row>
    <row r="1664" spans="1:9">
      <c r="A1664" s="31" t="s">
        <v>128</v>
      </c>
      <c r="B1664" s="31" t="s">
        <v>119</v>
      </c>
      <c r="C1664" s="30"/>
      <c r="D1664" s="31" t="s">
        <v>37</v>
      </c>
      <c r="E1664" s="31"/>
      <c r="F1664" s="32">
        <f>WORKDAY(G1663,1)</f>
        <v>46615</v>
      </c>
      <c r="G1664" s="32">
        <f>WORKDAY(F1664,H1664-1,)</f>
        <v>46626</v>
      </c>
      <c r="H1664" s="31">
        <v>10</v>
      </c>
      <c r="I1664" s="128">
        <v>2</v>
      </c>
    </row>
    <row r="1665" spans="1:9">
      <c r="A1665" s="31" t="s">
        <v>128</v>
      </c>
      <c r="B1665" s="31" t="s">
        <v>119</v>
      </c>
      <c r="C1665" s="30"/>
      <c r="D1665" s="31" t="s">
        <v>40</v>
      </c>
      <c r="E1665" s="31"/>
      <c r="F1665" s="32">
        <f>WORKDAY(G1663,1)</f>
        <v>46615</v>
      </c>
      <c r="G1665" s="32">
        <f t="shared" ref="G1665:G1677" si="218">WORKDAY(F1665,H1665-1,)</f>
        <v>46626</v>
      </c>
      <c r="H1665" s="31">
        <v>10</v>
      </c>
      <c r="I1665" s="128"/>
    </row>
    <row r="1666" spans="1:9">
      <c r="A1666" s="31" t="s">
        <v>128</v>
      </c>
      <c r="B1666" s="31" t="s">
        <v>119</v>
      </c>
      <c r="C1666" s="30"/>
      <c r="D1666" s="31" t="s">
        <v>42</v>
      </c>
      <c r="E1666" s="31"/>
      <c r="F1666" s="32">
        <f>WORKDAY(G1663,1)</f>
        <v>46615</v>
      </c>
      <c r="G1666" s="32">
        <f t="shared" si="218"/>
        <v>46626</v>
      </c>
      <c r="H1666" s="31">
        <v>10</v>
      </c>
      <c r="I1666" s="128"/>
    </row>
    <row r="1667" spans="1:9">
      <c r="A1667" s="31" t="s">
        <v>128</v>
      </c>
      <c r="B1667" s="31" t="s">
        <v>119</v>
      </c>
      <c r="C1667" s="30"/>
      <c r="D1667" s="31" t="s">
        <v>44</v>
      </c>
      <c r="E1667" s="31"/>
      <c r="F1667" s="32">
        <f>WORKDAY(G1663,1)</f>
        <v>46615</v>
      </c>
      <c r="G1667" s="32">
        <f t="shared" si="218"/>
        <v>46626</v>
      </c>
      <c r="H1667" s="31">
        <v>10</v>
      </c>
      <c r="I1667" s="128"/>
    </row>
    <row r="1668" spans="1:9">
      <c r="A1668" s="31" t="s">
        <v>128</v>
      </c>
      <c r="B1668" s="31" t="s">
        <v>119</v>
      </c>
      <c r="C1668" s="30"/>
      <c r="D1668" s="31" t="s">
        <v>45</v>
      </c>
      <c r="E1668" s="31"/>
      <c r="F1668" s="32">
        <f>WORKDAY(G1663,1)</f>
        <v>46615</v>
      </c>
      <c r="G1668" s="32">
        <f t="shared" si="218"/>
        <v>46626</v>
      </c>
      <c r="H1668" s="31">
        <v>10</v>
      </c>
      <c r="I1668" s="31">
        <v>5</v>
      </c>
    </row>
    <row r="1669" spans="1:9">
      <c r="A1669" s="25" t="s">
        <v>128</v>
      </c>
      <c r="B1669" s="25" t="s">
        <v>119</v>
      </c>
      <c r="C1669" s="105"/>
      <c r="D1669" s="26" t="s">
        <v>47</v>
      </c>
      <c r="E1669" s="26"/>
      <c r="F1669" s="27">
        <f>WORKDAY(G1668,-4)</f>
        <v>46622</v>
      </c>
      <c r="G1669" s="28">
        <f t="shared" si="218"/>
        <v>46633</v>
      </c>
      <c r="H1669" s="26">
        <v>10</v>
      </c>
      <c r="I1669" s="26">
        <v>8</v>
      </c>
    </row>
    <row r="1670" spans="1:9">
      <c r="A1670" s="77" t="s">
        <v>128</v>
      </c>
      <c r="B1670" s="77" t="s">
        <v>119</v>
      </c>
      <c r="C1670" s="98"/>
      <c r="D1670" s="42" t="s">
        <v>50</v>
      </c>
      <c r="E1670" s="42"/>
      <c r="F1670" s="43">
        <f>WORKDAY(G1668,1)</f>
        <v>46629</v>
      </c>
      <c r="G1670" s="44">
        <f t="shared" si="218"/>
        <v>46629</v>
      </c>
      <c r="H1670" s="42">
        <v>1</v>
      </c>
      <c r="I1670" s="42">
        <v>0</v>
      </c>
    </row>
    <row r="1671" spans="1:9">
      <c r="A1671" s="21" t="s">
        <v>128</v>
      </c>
      <c r="B1671" s="21" t="s">
        <v>119</v>
      </c>
      <c r="C1671" s="20"/>
      <c r="D1671" s="47" t="s">
        <v>52</v>
      </c>
      <c r="E1671" s="47"/>
      <c r="F1671" s="48">
        <f>WORKDAY(G1669,1)</f>
        <v>46636</v>
      </c>
      <c r="G1671" s="22">
        <f t="shared" si="218"/>
        <v>46647</v>
      </c>
      <c r="H1671" s="47">
        <v>10</v>
      </c>
      <c r="I1671" s="47">
        <v>5</v>
      </c>
    </row>
    <row r="1672" spans="1:9">
      <c r="A1672" s="21" t="s">
        <v>128</v>
      </c>
      <c r="B1672" s="21" t="s">
        <v>119</v>
      </c>
      <c r="C1672" s="20"/>
      <c r="D1672" s="49" t="s">
        <v>55</v>
      </c>
      <c r="E1672" s="49"/>
      <c r="F1672" s="48">
        <f>WORKDAY(G1669,1)</f>
        <v>46636</v>
      </c>
      <c r="G1672" s="22">
        <f t="shared" si="218"/>
        <v>46647</v>
      </c>
      <c r="H1672" s="47">
        <v>10</v>
      </c>
      <c r="I1672" s="47">
        <v>0</v>
      </c>
    </row>
    <row r="1673" spans="1:9">
      <c r="A1673" s="52" t="s">
        <v>128</v>
      </c>
      <c r="B1673" s="110" t="s">
        <v>119</v>
      </c>
      <c r="C1673" s="111"/>
      <c r="D1673" s="52" t="s">
        <v>56</v>
      </c>
      <c r="E1673" s="52"/>
      <c r="F1673" s="53">
        <f t="shared" ref="F1673" si="219">WORKDAY(G1672,1)</f>
        <v>46650</v>
      </c>
      <c r="G1673" s="53">
        <f t="shared" si="218"/>
        <v>46661</v>
      </c>
      <c r="H1673" s="52">
        <v>10</v>
      </c>
      <c r="I1673" s="52">
        <v>4</v>
      </c>
    </row>
    <row r="1674" spans="1:9">
      <c r="A1674" s="52" t="s">
        <v>128</v>
      </c>
      <c r="B1674" s="110" t="s">
        <v>119</v>
      </c>
      <c r="C1674" s="111"/>
      <c r="D1674" s="52" t="s">
        <v>59</v>
      </c>
      <c r="E1674" s="52"/>
      <c r="F1674" s="53">
        <f>WORKDAY(G1672,1)</f>
        <v>46650</v>
      </c>
      <c r="G1674" s="53">
        <f t="shared" si="218"/>
        <v>46650</v>
      </c>
      <c r="H1674" s="52">
        <v>1</v>
      </c>
      <c r="I1674" s="52">
        <v>0</v>
      </c>
    </row>
    <row r="1675" spans="1:9">
      <c r="A1675" s="124" t="s">
        <v>128</v>
      </c>
      <c r="B1675" s="112" t="s">
        <v>119</v>
      </c>
      <c r="C1675" s="113"/>
      <c r="D1675" s="56" t="s">
        <v>62</v>
      </c>
      <c r="E1675" s="56"/>
      <c r="F1675" s="57">
        <f>WORKDAY(G1673,-4)</f>
        <v>46657</v>
      </c>
      <c r="G1675" s="57">
        <f t="shared" si="218"/>
        <v>46668</v>
      </c>
      <c r="H1675" s="56">
        <v>10</v>
      </c>
      <c r="I1675" s="56">
        <v>0</v>
      </c>
    </row>
    <row r="1676" spans="1:9">
      <c r="A1676" s="124" t="s">
        <v>128</v>
      </c>
      <c r="B1676" s="112" t="s">
        <v>119</v>
      </c>
      <c r="C1676" s="113"/>
      <c r="D1676" s="56" t="s">
        <v>64</v>
      </c>
      <c r="E1676" s="56"/>
      <c r="F1676" s="57">
        <f>WORKDAY(F1675,1)</f>
        <v>46658</v>
      </c>
      <c r="G1676" s="57">
        <f t="shared" si="218"/>
        <v>46668</v>
      </c>
      <c r="H1676" s="56">
        <v>9</v>
      </c>
      <c r="I1676" s="56">
        <v>0</v>
      </c>
    </row>
    <row r="1677" spans="1:9">
      <c r="A1677" s="31" t="s">
        <v>128</v>
      </c>
      <c r="B1677" s="31" t="s">
        <v>119</v>
      </c>
      <c r="C1677" s="30"/>
      <c r="D1677" s="58" t="s">
        <v>65</v>
      </c>
      <c r="E1677" s="58"/>
      <c r="F1677" s="59">
        <f>WORKDAY(G1675,1)</f>
        <v>46671</v>
      </c>
      <c r="G1677" s="32">
        <f t="shared" si="218"/>
        <v>46682</v>
      </c>
      <c r="H1677" s="58">
        <v>10</v>
      </c>
      <c r="I1677" s="58">
        <v>2</v>
      </c>
    </row>
    <row r="1678" spans="1:9">
      <c r="A1678" s="106" t="s">
        <v>128</v>
      </c>
      <c r="B1678" s="107" t="s">
        <v>119</v>
      </c>
      <c r="C1678" s="108"/>
      <c r="D1678" s="64" t="s">
        <v>68</v>
      </c>
      <c r="E1678" s="64"/>
      <c r="F1678" s="65">
        <f>WORKDAY(G1677,1)</f>
        <v>46685</v>
      </c>
      <c r="G1678" s="65">
        <f>WORKDAY(F1678,H1678-1,)</f>
        <v>46696</v>
      </c>
      <c r="H1678" s="64">
        <v>10</v>
      </c>
      <c r="I1678" s="129">
        <v>2</v>
      </c>
    </row>
    <row r="1679" spans="1:9">
      <c r="A1679" s="106" t="s">
        <v>128</v>
      </c>
      <c r="B1679" s="107" t="s">
        <v>119</v>
      </c>
      <c r="C1679" s="108"/>
      <c r="D1679" s="64" t="s">
        <v>71</v>
      </c>
      <c r="E1679" s="64"/>
      <c r="F1679" s="65">
        <f>WORKDAY(G1677,1)</f>
        <v>46685</v>
      </c>
      <c r="G1679" s="65">
        <f t="shared" ref="G1679:G1681" si="220">WORKDAY(F1678,H1678-1,)</f>
        <v>46696</v>
      </c>
      <c r="H1679" s="64">
        <v>10</v>
      </c>
      <c r="I1679" s="129"/>
    </row>
    <row r="1680" spans="1:9">
      <c r="A1680" s="106" t="s">
        <v>128</v>
      </c>
      <c r="B1680" s="107" t="s">
        <v>119</v>
      </c>
      <c r="C1680" s="108"/>
      <c r="D1680" s="64" t="s">
        <v>72</v>
      </c>
      <c r="E1680" s="64"/>
      <c r="F1680" s="65">
        <f>WORKDAY(G1677,1)</f>
        <v>46685</v>
      </c>
      <c r="G1680" s="65">
        <f t="shared" si="220"/>
        <v>46696</v>
      </c>
      <c r="H1680" s="64">
        <v>10</v>
      </c>
      <c r="I1680" s="129"/>
    </row>
    <row r="1681" spans="1:9">
      <c r="A1681" s="106" t="s">
        <v>128</v>
      </c>
      <c r="B1681" s="107" t="s">
        <v>119</v>
      </c>
      <c r="C1681" s="108"/>
      <c r="D1681" s="64" t="s">
        <v>73</v>
      </c>
      <c r="E1681" s="64"/>
      <c r="F1681" s="65">
        <f>WORKDAY(G1677,1)</f>
        <v>46685</v>
      </c>
      <c r="G1681" s="65">
        <f t="shared" si="220"/>
        <v>46696</v>
      </c>
      <c r="H1681" s="64">
        <v>10</v>
      </c>
      <c r="I1681" s="129"/>
    </row>
    <row r="1682" spans="1:9">
      <c r="A1682" s="107" t="s">
        <v>128</v>
      </c>
      <c r="B1682" s="107" t="s">
        <v>119</v>
      </c>
      <c r="C1682" s="108"/>
      <c r="D1682" s="64" t="s">
        <v>74</v>
      </c>
      <c r="E1682" s="64"/>
      <c r="F1682" s="65">
        <f>WORKDAY(G1677,1)</f>
        <v>46685</v>
      </c>
      <c r="G1682" s="66">
        <f>WORKDAY(F1682,H1682-1,)</f>
        <v>46696</v>
      </c>
      <c r="H1682" s="64">
        <v>10</v>
      </c>
      <c r="I1682" s="64">
        <v>3</v>
      </c>
    </row>
    <row r="1683" spans="1:9">
      <c r="A1683" s="107" t="s">
        <v>128</v>
      </c>
      <c r="B1683" s="107" t="s">
        <v>119</v>
      </c>
      <c r="C1683" s="108"/>
      <c r="D1683" s="64" t="s">
        <v>77</v>
      </c>
      <c r="E1683" s="64"/>
      <c r="F1683" s="65">
        <f>WORKDAY(G1677,1)</f>
        <v>46685</v>
      </c>
      <c r="G1683" s="66">
        <f t="shared" ref="G1683:G1705" si="221">WORKDAY(F1683,H1683-1,)</f>
        <v>46696</v>
      </c>
      <c r="H1683" s="64">
        <v>10</v>
      </c>
      <c r="I1683" s="64">
        <v>0</v>
      </c>
    </row>
    <row r="1684" spans="1:9">
      <c r="A1684" s="107" t="s">
        <v>128</v>
      </c>
      <c r="B1684" s="107" t="s">
        <v>119</v>
      </c>
      <c r="C1684" s="108"/>
      <c r="D1684" s="64" t="s">
        <v>80</v>
      </c>
      <c r="E1684" s="64"/>
      <c r="F1684" s="65">
        <f>WORKDAY(G1677,1)</f>
        <v>46685</v>
      </c>
      <c r="G1684" s="66">
        <f t="shared" si="221"/>
        <v>46696</v>
      </c>
      <c r="H1684" s="64">
        <v>10</v>
      </c>
      <c r="I1684" s="64">
        <v>0</v>
      </c>
    </row>
    <row r="1685" spans="1:9">
      <c r="A1685" s="107" t="s">
        <v>128</v>
      </c>
      <c r="B1685" s="107" t="s">
        <v>119</v>
      </c>
      <c r="C1685" s="108"/>
      <c r="D1685" s="64" t="s">
        <v>81</v>
      </c>
      <c r="E1685" s="64"/>
      <c r="F1685" s="65">
        <f>WORKDAY(G1677,1)</f>
        <v>46685</v>
      </c>
      <c r="G1685" s="66">
        <f t="shared" si="221"/>
        <v>46696</v>
      </c>
      <c r="H1685" s="64">
        <v>10</v>
      </c>
      <c r="I1685" s="64">
        <v>6</v>
      </c>
    </row>
    <row r="1686" spans="1:9">
      <c r="A1686" s="70" t="s">
        <v>128</v>
      </c>
      <c r="B1686" s="119" t="s">
        <v>119</v>
      </c>
      <c r="C1686" s="120"/>
      <c r="D1686" s="70" t="s">
        <v>82</v>
      </c>
      <c r="E1686" s="70"/>
      <c r="F1686" s="71">
        <f t="shared" ref="F1686" si="222">WORKDAY(G1685,1)</f>
        <v>46699</v>
      </c>
      <c r="G1686" s="71">
        <f t="shared" si="221"/>
        <v>46710</v>
      </c>
      <c r="H1686" s="70">
        <v>10</v>
      </c>
      <c r="I1686" s="70">
        <v>4</v>
      </c>
    </row>
    <row r="1687" spans="1:9">
      <c r="A1687" s="77" t="s">
        <v>128</v>
      </c>
      <c r="B1687" s="77" t="s">
        <v>119</v>
      </c>
      <c r="C1687" s="98"/>
      <c r="D1687" s="75" t="s">
        <v>85</v>
      </c>
      <c r="E1687" s="75"/>
      <c r="F1687" s="76">
        <f>WORKDAY(G1686,-1)</f>
        <v>46709</v>
      </c>
      <c r="G1687" s="44">
        <f t="shared" si="221"/>
        <v>46713</v>
      </c>
      <c r="H1687" s="75">
        <v>3</v>
      </c>
      <c r="I1687" s="75">
        <v>6</v>
      </c>
    </row>
    <row r="1688" spans="1:9">
      <c r="A1688" s="77" t="s">
        <v>128</v>
      </c>
      <c r="B1688" s="77" t="s">
        <v>119</v>
      </c>
      <c r="C1688" s="98"/>
      <c r="D1688" s="75" t="s">
        <v>86</v>
      </c>
      <c r="E1688" s="75"/>
      <c r="F1688" s="76">
        <f>WORKDAY(G1686,1)</f>
        <v>46713</v>
      </c>
      <c r="G1688" s="44">
        <f t="shared" si="221"/>
        <v>46724</v>
      </c>
      <c r="H1688" s="75">
        <v>10</v>
      </c>
      <c r="I1688" s="75">
        <v>0</v>
      </c>
    </row>
    <row r="1689" spans="1:9">
      <c r="A1689" s="78" t="s">
        <v>128</v>
      </c>
      <c r="B1689" s="78" t="s">
        <v>119</v>
      </c>
      <c r="C1689" s="109"/>
      <c r="D1689" s="79" t="s">
        <v>87</v>
      </c>
      <c r="E1689" s="79"/>
      <c r="F1689" s="81">
        <f>WORKDAY(F1687,4)</f>
        <v>46715</v>
      </c>
      <c r="G1689" s="82">
        <f t="shared" si="221"/>
        <v>46728</v>
      </c>
      <c r="H1689" s="79">
        <v>10</v>
      </c>
      <c r="I1689" s="79">
        <v>4</v>
      </c>
    </row>
    <row r="1690" spans="1:9">
      <c r="A1690" s="83" t="s">
        <v>128</v>
      </c>
      <c r="B1690" s="114" t="s">
        <v>119</v>
      </c>
      <c r="C1690" s="115"/>
      <c r="D1690" s="83" t="s">
        <v>89</v>
      </c>
      <c r="E1690" s="83"/>
      <c r="F1690" s="85">
        <f>WORKDAY(F1689,3)</f>
        <v>46720</v>
      </c>
      <c r="G1690" s="85">
        <f t="shared" si="221"/>
        <v>46731</v>
      </c>
      <c r="H1690" s="83">
        <v>10</v>
      </c>
      <c r="I1690" s="127">
        <v>0</v>
      </c>
    </row>
    <row r="1691" spans="1:9">
      <c r="A1691" s="83" t="s">
        <v>128</v>
      </c>
      <c r="B1691" s="114" t="s">
        <v>119</v>
      </c>
      <c r="C1691" s="115"/>
      <c r="D1691" s="83" t="s">
        <v>91</v>
      </c>
      <c r="E1691" s="83"/>
      <c r="F1691" s="85">
        <f>WORKDAY(F1689,3)</f>
        <v>46720</v>
      </c>
      <c r="G1691" s="85">
        <f t="shared" si="221"/>
        <v>46731</v>
      </c>
      <c r="H1691" s="83">
        <v>10</v>
      </c>
      <c r="I1691" s="127"/>
    </row>
    <row r="1692" spans="1:9">
      <c r="A1692" s="83" t="s">
        <v>128</v>
      </c>
      <c r="B1692" s="114" t="s">
        <v>119</v>
      </c>
      <c r="C1692" s="115"/>
      <c r="D1692" s="83" t="s">
        <v>92</v>
      </c>
      <c r="E1692" s="83"/>
      <c r="F1692" s="85">
        <f>WORKDAY(F1689,3)</f>
        <v>46720</v>
      </c>
      <c r="G1692" s="85">
        <f t="shared" si="221"/>
        <v>46731</v>
      </c>
      <c r="H1692" s="83">
        <v>10</v>
      </c>
      <c r="I1692" s="127"/>
    </row>
    <row r="1693" spans="1:9">
      <c r="A1693" s="83" t="s">
        <v>128</v>
      </c>
      <c r="B1693" s="114" t="s">
        <v>119</v>
      </c>
      <c r="C1693" s="115"/>
      <c r="D1693" s="83" t="s">
        <v>93</v>
      </c>
      <c r="E1693" s="83"/>
      <c r="F1693" s="85">
        <f>WORKDAY(F1689,3)</f>
        <v>46720</v>
      </c>
      <c r="G1693" s="85">
        <f t="shared" si="221"/>
        <v>46731</v>
      </c>
      <c r="H1693" s="83">
        <v>10</v>
      </c>
      <c r="I1693" s="127"/>
    </row>
    <row r="1694" spans="1:9">
      <c r="A1694" s="83" t="s">
        <v>128</v>
      </c>
      <c r="B1694" s="114" t="s">
        <v>119</v>
      </c>
      <c r="C1694" s="115"/>
      <c r="D1694" s="83" t="s">
        <v>94</v>
      </c>
      <c r="E1694" s="83"/>
      <c r="F1694" s="85">
        <f>WORKDAY(F1689,3)</f>
        <v>46720</v>
      </c>
      <c r="G1694" s="85">
        <f t="shared" si="221"/>
        <v>46731</v>
      </c>
      <c r="H1694" s="83">
        <v>10</v>
      </c>
      <c r="I1694" s="83">
        <v>0</v>
      </c>
    </row>
    <row r="1695" spans="1:9">
      <c r="A1695" s="86" t="s">
        <v>128</v>
      </c>
      <c r="B1695" s="116" t="s">
        <v>119</v>
      </c>
      <c r="C1695" s="117"/>
      <c r="D1695" s="86" t="s">
        <v>95</v>
      </c>
      <c r="E1695" s="86"/>
      <c r="F1695" s="88">
        <f>WORKDAY(F1694,3)</f>
        <v>46723</v>
      </c>
      <c r="G1695" s="88">
        <f t="shared" si="221"/>
        <v>46731</v>
      </c>
      <c r="H1695" s="86">
        <v>7</v>
      </c>
      <c r="I1695" s="86">
        <v>0</v>
      </c>
    </row>
    <row r="1696" spans="1:9">
      <c r="A1696" s="89" t="s">
        <v>128</v>
      </c>
      <c r="B1696" s="89" t="s">
        <v>119</v>
      </c>
      <c r="C1696" s="90"/>
      <c r="D1696" s="89" t="s">
        <v>96</v>
      </c>
      <c r="E1696" s="89"/>
      <c r="F1696" s="91">
        <f>WORKDAY(F1695,2)</f>
        <v>46727</v>
      </c>
      <c r="G1696" s="91">
        <f t="shared" si="221"/>
        <v>46738</v>
      </c>
      <c r="H1696" s="89">
        <v>10</v>
      </c>
      <c r="I1696" s="89">
        <v>0</v>
      </c>
    </row>
    <row r="1697" spans="1:9">
      <c r="A1697" s="89" t="s">
        <v>128</v>
      </c>
      <c r="B1697" s="89" t="s">
        <v>119</v>
      </c>
      <c r="C1697" s="90"/>
      <c r="D1697" s="89" t="s">
        <v>98</v>
      </c>
      <c r="E1697" s="89"/>
      <c r="F1697" s="91">
        <f>WORKDAY(F1695,2)</f>
        <v>46727</v>
      </c>
      <c r="G1697" s="91">
        <f t="shared" si="221"/>
        <v>46738</v>
      </c>
      <c r="H1697" s="89">
        <v>10</v>
      </c>
      <c r="I1697" s="89">
        <v>4</v>
      </c>
    </row>
    <row r="1698" spans="1:9">
      <c r="A1698" s="89" t="s">
        <v>128</v>
      </c>
      <c r="B1698" s="89" t="s">
        <v>119</v>
      </c>
      <c r="C1698" s="90"/>
      <c r="D1698" s="89" t="s">
        <v>101</v>
      </c>
      <c r="E1698" s="89"/>
      <c r="F1698" s="91">
        <f>WORKDAY(F1695,2)</f>
        <v>46727</v>
      </c>
      <c r="G1698" s="91">
        <f t="shared" si="221"/>
        <v>46738</v>
      </c>
      <c r="H1698" s="89">
        <v>10</v>
      </c>
      <c r="I1698" s="89">
        <v>0</v>
      </c>
    </row>
    <row r="1699" spans="1:9">
      <c r="A1699" s="38" t="s">
        <v>128</v>
      </c>
      <c r="B1699" s="38" t="s">
        <v>119</v>
      </c>
      <c r="C1699" s="92"/>
      <c r="D1699" s="38" t="s">
        <v>103</v>
      </c>
      <c r="E1699" s="38"/>
      <c r="F1699" s="93">
        <f>WORKDAY(G1697,-4)</f>
        <v>46734</v>
      </c>
      <c r="G1699" s="93">
        <f t="shared" si="221"/>
        <v>46736</v>
      </c>
      <c r="H1699" s="38">
        <v>3</v>
      </c>
      <c r="I1699" s="38">
        <v>0</v>
      </c>
    </row>
    <row r="1700" spans="1:9">
      <c r="A1700" s="38" t="s">
        <v>128</v>
      </c>
      <c r="B1700" s="38" t="s">
        <v>119</v>
      </c>
      <c r="C1700" s="92"/>
      <c r="D1700" s="38" t="s">
        <v>106</v>
      </c>
      <c r="E1700" s="38"/>
      <c r="F1700" s="93">
        <f>WORKDAY(G1697,-4)</f>
        <v>46734</v>
      </c>
      <c r="G1700" s="93">
        <f t="shared" si="221"/>
        <v>46745</v>
      </c>
      <c r="H1700" s="38">
        <v>10</v>
      </c>
      <c r="I1700" s="38">
        <v>5</v>
      </c>
    </row>
    <row r="1701" spans="1:9">
      <c r="A1701" s="38" t="s">
        <v>128</v>
      </c>
      <c r="B1701" s="38" t="s">
        <v>119</v>
      </c>
      <c r="C1701" s="92"/>
      <c r="D1701" s="38" t="s">
        <v>108</v>
      </c>
      <c r="E1701" s="38"/>
      <c r="F1701" s="93">
        <f>WORKDAY(G1697,-4)</f>
        <v>46734</v>
      </c>
      <c r="G1701" s="93">
        <f t="shared" si="221"/>
        <v>46745</v>
      </c>
      <c r="H1701" s="38">
        <v>10</v>
      </c>
      <c r="I1701" s="38">
        <v>3</v>
      </c>
    </row>
    <row r="1702" spans="1:9">
      <c r="A1702" s="94" t="s">
        <v>128</v>
      </c>
      <c r="B1702" s="94" t="s">
        <v>119</v>
      </c>
      <c r="C1702" s="95"/>
      <c r="D1702" s="96" t="s">
        <v>109</v>
      </c>
      <c r="E1702" s="96"/>
      <c r="F1702" s="97">
        <f>WORKDAY(G1697,1)</f>
        <v>46741</v>
      </c>
      <c r="G1702" s="97">
        <f t="shared" si="221"/>
        <v>46752</v>
      </c>
      <c r="H1702" s="94">
        <v>10</v>
      </c>
      <c r="I1702" s="94">
        <v>0</v>
      </c>
    </row>
    <row r="1703" spans="1:9">
      <c r="A1703" s="94" t="s">
        <v>128</v>
      </c>
      <c r="B1703" s="94" t="s">
        <v>119</v>
      </c>
      <c r="C1703" s="95"/>
      <c r="D1703" s="96" t="s">
        <v>112</v>
      </c>
      <c r="E1703" s="96"/>
      <c r="F1703" s="97">
        <f>WORKDAY(G1697,1)</f>
        <v>46741</v>
      </c>
      <c r="G1703" s="97">
        <f t="shared" si="221"/>
        <v>46752</v>
      </c>
      <c r="H1703" s="94">
        <v>10</v>
      </c>
      <c r="I1703" s="94">
        <v>0</v>
      </c>
    </row>
    <row r="1704" spans="1:9">
      <c r="A1704" s="77" t="s">
        <v>128</v>
      </c>
      <c r="B1704" s="77" t="s">
        <v>119</v>
      </c>
      <c r="C1704" s="98"/>
      <c r="D1704" s="77" t="s">
        <v>113</v>
      </c>
      <c r="E1704" s="77"/>
      <c r="F1704" s="44">
        <f>WORKDAY(G1702,-4)</f>
        <v>46748</v>
      </c>
      <c r="G1704" s="44">
        <f t="shared" si="221"/>
        <v>46752</v>
      </c>
      <c r="H1704" s="77">
        <v>5</v>
      </c>
      <c r="I1704" s="77">
        <v>0</v>
      </c>
    </row>
    <row r="1705" spans="1:9">
      <c r="A1705" s="77" t="s">
        <v>128</v>
      </c>
      <c r="B1705" s="77" t="s">
        <v>119</v>
      </c>
      <c r="C1705" s="98"/>
      <c r="D1705" s="77" t="s">
        <v>116</v>
      </c>
      <c r="E1705" s="77"/>
      <c r="F1705" s="44">
        <f>WORKDAY(G1702,-4)</f>
        <v>46748</v>
      </c>
      <c r="G1705" s="44">
        <f t="shared" si="221"/>
        <v>46752</v>
      </c>
      <c r="H1705" s="77">
        <v>5</v>
      </c>
      <c r="I1705" s="77">
        <v>0</v>
      </c>
    </row>
  </sheetData>
  <autoFilter ref="A1:I1705" xr:uid="{00000000-0001-0000-0000-000000000000}"/>
  <mergeCells count="99">
    <mergeCell ref="I1252:I1255"/>
    <mergeCell ref="I1305:I1308"/>
    <mergeCell ref="I1358:I1361"/>
    <mergeCell ref="I1411:I1414"/>
    <mergeCell ref="I1264:I1267"/>
    <mergeCell ref="I1291:I1294"/>
    <mergeCell ref="I1317:I1320"/>
    <mergeCell ref="I1344:I1347"/>
    <mergeCell ref="I1370:I1373"/>
    <mergeCell ref="I1397:I1400"/>
    <mergeCell ref="I879:I882"/>
    <mergeCell ref="I932:I935"/>
    <mergeCell ref="I985:I988"/>
    <mergeCell ref="I1039:I1042"/>
    <mergeCell ref="I1092:I1095"/>
    <mergeCell ref="I1025:I1028"/>
    <mergeCell ref="I1051:I1054"/>
    <mergeCell ref="I891:I894"/>
    <mergeCell ref="I918:I921"/>
    <mergeCell ref="I944:I947"/>
    <mergeCell ref="I971:I974"/>
    <mergeCell ref="I997:I1000"/>
    <mergeCell ref="I613:I616"/>
    <mergeCell ref="I666:I669"/>
    <mergeCell ref="I719:I722"/>
    <mergeCell ref="I772:I775"/>
    <mergeCell ref="I826:I829"/>
    <mergeCell ref="I758:I761"/>
    <mergeCell ref="I784:I787"/>
    <mergeCell ref="I812:I815"/>
    <mergeCell ref="I678:I681"/>
    <mergeCell ref="I705:I708"/>
    <mergeCell ref="I731:I734"/>
    <mergeCell ref="I346:I349"/>
    <mergeCell ref="I400:I403"/>
    <mergeCell ref="I453:I456"/>
    <mergeCell ref="I506:I509"/>
    <mergeCell ref="I559:I562"/>
    <mergeCell ref="I492:I495"/>
    <mergeCell ref="I518:I521"/>
    <mergeCell ref="I545:I548"/>
    <mergeCell ref="I80:I83"/>
    <mergeCell ref="I133:I136"/>
    <mergeCell ref="I187:I190"/>
    <mergeCell ref="I240:I243"/>
    <mergeCell ref="I293:I296"/>
    <mergeCell ref="I92:I95"/>
    <mergeCell ref="I119:I122"/>
    <mergeCell ref="I145:I148"/>
    <mergeCell ref="I173:I176"/>
    <mergeCell ref="I199:I202"/>
    <mergeCell ref="I226:I229"/>
    <mergeCell ref="I252:I255"/>
    <mergeCell ref="I279:I282"/>
    <mergeCell ref="J13:J16"/>
    <mergeCell ref="I13:I16"/>
    <mergeCell ref="J39:J42"/>
    <mergeCell ref="I39:I42"/>
    <mergeCell ref="I66:I69"/>
    <mergeCell ref="I27:I30"/>
    <mergeCell ref="J27:J30"/>
    <mergeCell ref="I305:I308"/>
    <mergeCell ref="I332:I335"/>
    <mergeCell ref="I1078:I1081"/>
    <mergeCell ref="I1104:I1107"/>
    <mergeCell ref="I1131:I1134"/>
    <mergeCell ref="I571:I574"/>
    <mergeCell ref="I599:I602"/>
    <mergeCell ref="I358:I361"/>
    <mergeCell ref="I386:I389"/>
    <mergeCell ref="I412:I415"/>
    <mergeCell ref="I439:I442"/>
    <mergeCell ref="I465:I468"/>
    <mergeCell ref="I838:I841"/>
    <mergeCell ref="I865:I868"/>
    <mergeCell ref="I625:I628"/>
    <mergeCell ref="I652:I655"/>
    <mergeCell ref="I1157:I1160"/>
    <mergeCell ref="I1184:I1187"/>
    <mergeCell ref="I1145:I1148"/>
    <mergeCell ref="I1210:I1213"/>
    <mergeCell ref="I1238:I1241"/>
    <mergeCell ref="I1198:I1201"/>
    <mergeCell ref="I1423:I1426"/>
    <mergeCell ref="I1451:I1454"/>
    <mergeCell ref="I1610:I1613"/>
    <mergeCell ref="I1636:I1639"/>
    <mergeCell ref="I1664:I1667"/>
    <mergeCell ref="I1465:I1468"/>
    <mergeCell ref="I1518:I1521"/>
    <mergeCell ref="I1571:I1574"/>
    <mergeCell ref="I1624:I1627"/>
    <mergeCell ref="I1690:I1693"/>
    <mergeCell ref="I1477:I1480"/>
    <mergeCell ref="I1504:I1507"/>
    <mergeCell ref="I1530:I1533"/>
    <mergeCell ref="I1557:I1560"/>
    <mergeCell ref="I1583:I1586"/>
    <mergeCell ref="I1678:I1681"/>
  </mergeCells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8616d3-a2e5-4795-9b88-06aaa32f96ac">
      <Terms xmlns="http://schemas.microsoft.com/office/infopath/2007/PartnerControls"/>
    </lcf76f155ced4ddcb4097134ff3c332f>
    <TaxCatchAll xmlns="15962f1e-f8b5-4042-9c7d-5468d4101594" xsi:nil="true"/>
    <_Flow_SignoffStatus xmlns="c48616d3-a2e5-4795-9b88-06aaa32f96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4294D302FED478A6AB77DC9BB513D" ma:contentTypeVersion="18" ma:contentTypeDescription="Create a new document." ma:contentTypeScope="" ma:versionID="4cb5be103b09c7e9cc43fc757d81dbe0">
  <xsd:schema xmlns:xsd="http://www.w3.org/2001/XMLSchema" xmlns:xs="http://www.w3.org/2001/XMLSchema" xmlns:p="http://schemas.microsoft.com/office/2006/metadata/properties" xmlns:ns2="c48616d3-a2e5-4795-9b88-06aaa32f96ac" xmlns:ns3="15962f1e-f8b5-4042-9c7d-5468d4101594" targetNamespace="http://schemas.microsoft.com/office/2006/metadata/properties" ma:root="true" ma:fieldsID="18f1e82b9c6e89527ddd070234f772bd" ns2:_="" ns3:_="">
    <xsd:import namespace="c48616d3-a2e5-4795-9b88-06aaa32f96ac"/>
    <xsd:import namespace="15962f1e-f8b5-4042-9c7d-5468d410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616d3-a2e5-4795-9b88-06aaa32f9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62f1e-f8b5-4042-9c7d-5468d41015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3fd136c-def6-4806-8457-0f9be74161a6}" ma:internalName="TaxCatchAll" ma:showField="CatchAllData" ma:web="15962f1e-f8b5-4042-9c7d-5468d410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794F8C-27C2-44F7-8B06-BEAFAEE9CC3B}"/>
</file>

<file path=customXml/itemProps2.xml><?xml version="1.0" encoding="utf-8"?>
<ds:datastoreItem xmlns:ds="http://schemas.openxmlformats.org/officeDocument/2006/customXml" ds:itemID="{F152A7A3-89F7-4601-AB36-C11DE48668F2}"/>
</file>

<file path=customXml/itemProps3.xml><?xml version="1.0" encoding="utf-8"?>
<ds:datastoreItem xmlns:ds="http://schemas.openxmlformats.org/officeDocument/2006/customXml" ds:itemID="{BC575F71-2828-4541-992A-88658B559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2026-01-26T16:56:55Z</dcterms:created>
  <dcterms:modified xsi:type="dcterms:W3CDTF">2026-05-22T02:13:27Z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0x010100A0C4294D302FED478A6AB77DC9BB513D</vt:lpwstr>
  </property>
</Properties>
</file>